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8_{4FC2F4B9-B260-42FE-B76F-E1464B0FD373}" xr6:coauthVersionLast="47" xr6:coauthVersionMax="47" xr10:uidLastSave="{00000000-0000-0000-0000-000000000000}"/>
  <bookViews>
    <workbookView xWindow="-110" yWindow="-110" windowWidth="29020" windowHeight="17620" xr2:uid="{7E8A0DB2-1D50-408C-B27E-5D9F42DF2DBD}"/>
  </bookViews>
  <sheets>
    <sheet name="Dashboard" sheetId="1" r:id="rId1"/>
  </sheets>
  <externalReferences>
    <externalReference r:id="rId2"/>
  </externalReferences>
  <definedNames>
    <definedName name="SegmentaciónDeDatos_Almacén">#N/A</definedName>
    <definedName name="SegmentaciónDeDatos_Area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A37" i="1"/>
  <c r="C31" i="1"/>
  <c r="C30" i="1"/>
  <c r="C29" i="1"/>
  <c r="C28" i="1"/>
  <c r="C27" i="1"/>
  <c r="C26" i="1"/>
  <c r="C25" i="1"/>
</calcChain>
</file>

<file path=xl/sharedStrings.xml><?xml version="1.0" encoding="utf-8"?>
<sst xmlns="http://schemas.openxmlformats.org/spreadsheetml/2006/main" count="12" uniqueCount="12">
  <si>
    <t>Performance vs Manchester Operations</t>
  </si>
  <si>
    <t>Retail Store</t>
  </si>
  <si>
    <t>Hires</t>
  </si>
  <si>
    <t>Dif vs Manchester</t>
  </si>
  <si>
    <t>Ciudad de México</t>
  </si>
  <si>
    <t>Ecatepec</t>
  </si>
  <si>
    <t>Guadalajara</t>
  </si>
  <si>
    <t>Monterrey</t>
  </si>
  <si>
    <t>Puebla de Zaragoza</t>
  </si>
  <si>
    <t>Zapopan</t>
  </si>
  <si>
    <t>Total general</t>
  </si>
  <si>
    <t>Day &amp; Night Shift Store Associate Turnover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</si>
</sst>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Dubai Medium"/>
      <family val="2"/>
    </font>
    <font>
      <sz val="12"/>
      <color theme="1"/>
      <name val="Dubai Medium"/>
      <family val="2"/>
    </font>
    <font>
      <sz val="24"/>
      <color theme="1"/>
      <name val="Franklin Gothic Demi Con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0" xfId="0" applyAlignment="1">
      <alignment horizontal="left"/>
    </xf>
    <xf numFmtId="0" fontId="3" fillId="0" borderId="0" xfId="0" applyFont="1"/>
    <xf numFmtId="10" fontId="4" fillId="0" borderId="2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Franklin Gothic Demi Cond" panose="020B0706030402020204" pitchFamily="34" charset="0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  <a:latin typeface="Franklin Gothic Demi Cond" panose="020B0706030402020204" pitchFamily="34" charset="0"/>
              </a:rPr>
              <a:t>Hires</a:t>
            </a:r>
            <a:r>
              <a:rPr lang="en-US" sz="2400" baseline="0">
                <a:solidFill>
                  <a:sysClr val="windowText" lastClr="000000"/>
                </a:solidFill>
                <a:latin typeface="Franklin Gothic Demi Cond" panose="020B0706030402020204" pitchFamily="34" charset="0"/>
              </a:rPr>
              <a:t> by Department</a:t>
            </a:r>
            <a:endParaRPr lang="en-US" sz="2400">
              <a:solidFill>
                <a:sysClr val="windowText" lastClr="000000"/>
              </a:solidFill>
              <a:latin typeface="Franklin Gothic Demi Cond" panose="020B0706030402020204" pitchFamily="34" charset="0"/>
            </a:endParaRPr>
          </a:p>
        </c:rich>
      </c:tx>
      <c:layout>
        <c:manualLayout>
          <c:xMode val="edge"/>
          <c:yMode val="edge"/>
          <c:x val="2.0365261130870387E-2"/>
          <c:y val="6.2232644226244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Franklin Gothic Demi Cond" panose="020B07060304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Operador Montacargas</c:v>
              </c:pt>
              <c:pt idx="1">
                <c:v>Empacador</c:v>
              </c:pt>
              <c:pt idx="2">
                <c:v>Chofer</c:v>
              </c:pt>
              <c:pt idx="3">
                <c:v>Almacenista Nocturno</c:v>
              </c:pt>
              <c:pt idx="4">
                <c:v>Coordinardor de Recepción</c:v>
              </c:pt>
              <c:pt idx="5">
                <c:v>Manejo de Paquetes</c:v>
              </c:pt>
              <c:pt idx="6">
                <c:v>Almacenista General</c:v>
              </c:pt>
            </c:strLit>
          </c:cat>
          <c:val>
            <c:numLit>
              <c:formatCode>General</c:formatCode>
              <c:ptCount val="7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9</c:v>
              </c:pt>
              <c:pt idx="6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3FD0-4222-8F73-42C600EA7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495103"/>
        <c:axId val="1095498943"/>
      </c:barChart>
      <c:catAx>
        <c:axId val="109549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95498943"/>
        <c:crosses val="autoZero"/>
        <c:auto val="1"/>
        <c:lblAlgn val="ctr"/>
        <c:lblOffset val="100"/>
        <c:noMultiLvlLbl val="0"/>
      </c:catAx>
      <c:valAx>
        <c:axId val="109549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954951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0" i="0" u="none" strike="noStrike" kern="1200" spc="0" baseline="0">
                <a:solidFill>
                  <a:sysClr val="windowText" lastClr="000000"/>
                </a:solidFill>
                <a:latin typeface="Franklin Gothic Demi Cond" panose="020B0706030402020204" pitchFamily="34" charset="0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/>
                </a:solidFill>
                <a:latin typeface="Franklin Gothic Demi Cond" panose="020B0706030402020204" pitchFamily="34" charset="0"/>
                <a:ea typeface="+mn-ea"/>
                <a:cs typeface="+mn-cs"/>
              </a:rPr>
              <a:t>Separations over Time</a:t>
            </a:r>
          </a:p>
        </c:rich>
      </c:tx>
      <c:layout>
        <c:manualLayout>
          <c:xMode val="edge"/>
          <c:yMode val="edge"/>
          <c:x val="3.2604667338439995E-2"/>
          <c:y val="1.7482517482517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0" i="0" u="none" strike="noStrike" kern="1200" spc="0" baseline="0">
              <a:solidFill>
                <a:sysClr val="windowText" lastClr="000000"/>
              </a:solidFill>
              <a:latin typeface="Franklin Gothic Demi Cond" panose="020B0706030402020204" pitchFamily="34" charset="0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5</c:v>
              </c:pt>
              <c:pt idx="2">
                <c:v>7</c:v>
              </c:pt>
              <c:pt idx="3">
                <c:v>7</c:v>
              </c:pt>
              <c:pt idx="4">
                <c:v>5</c:v>
              </c:pt>
              <c:pt idx="5">
                <c:v>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E0A-4F3B-9307-91A5D0C0F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551663"/>
        <c:axId val="1104559343"/>
      </c:lineChart>
      <c:catAx>
        <c:axId val="110455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04559343"/>
        <c:crosses val="autoZero"/>
        <c:auto val="1"/>
        <c:lblAlgn val="ctr"/>
        <c:lblOffset val="100"/>
        <c:noMultiLvlLbl val="0"/>
      </c:catAx>
      <c:valAx>
        <c:axId val="110455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0455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2</xdr:row>
      <xdr:rowOff>31750</xdr:rowOff>
    </xdr:from>
    <xdr:to>
      <xdr:col>5</xdr:col>
      <xdr:colOff>101600</xdr:colOff>
      <xdr:row>12</xdr:row>
      <xdr:rowOff>158750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3DD5843-E474-41AD-8F57-26EB8114845F}"/>
            </a:ext>
          </a:extLst>
        </xdr:cNvPr>
        <xdr:cNvSpPr txBox="1"/>
      </xdr:nvSpPr>
      <xdr:spPr>
        <a:xfrm>
          <a:off x="317500" y="400050"/>
          <a:ext cx="4667250" cy="1968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5400">
              <a:ln>
                <a:noFill/>
              </a:ln>
              <a:solidFill>
                <a:schemeClr val="accent2"/>
              </a:solidFill>
              <a:latin typeface="Franklin Gothic Demi Cond" panose="020B0706030402020204" pitchFamily="34" charset="0"/>
            </a:rPr>
            <a:t>Hiring</a:t>
          </a:r>
          <a:r>
            <a:rPr lang="es-CR" sz="5400">
              <a:ln>
                <a:noFill/>
              </a:ln>
              <a:latin typeface="Franklin Gothic Demi Cond" panose="020B0706030402020204" pitchFamily="34" charset="0"/>
            </a:rPr>
            <a:t> Report by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5400">
              <a:ln>
                <a:noFill/>
              </a:ln>
              <a:solidFill>
                <a:sysClr val="windowText" lastClr="000000"/>
              </a:solidFill>
              <a:latin typeface="Franklin Gothic Demi Cond" panose="020B0706030402020204" pitchFamily="34" charset="0"/>
            </a:rPr>
            <a:t>Store</a:t>
          </a:r>
        </a:p>
        <a:p>
          <a:endParaRPr lang="es-CR" sz="5400">
            <a:ln>
              <a:noFill/>
            </a:ln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5</xdr:col>
      <xdr:colOff>596900</xdr:colOff>
      <xdr:row>3</xdr:row>
      <xdr:rowOff>50800</xdr:rowOff>
    </xdr:from>
    <xdr:to>
      <xdr:col>10</xdr:col>
      <xdr:colOff>311150</xdr:colOff>
      <xdr:row>11</xdr:row>
      <xdr:rowOff>82550</xdr:rowOff>
    </xdr:to>
    <xdr:sp macro="" textlink="[1]Analysis!B8">
      <xdr:nvSpPr>
        <xdr:cNvPr id="3" name="Rectángulo: una sola esquina redondeada 2">
          <a:extLst>
            <a:ext uri="{FF2B5EF4-FFF2-40B4-BE49-F238E27FC236}">
              <a16:creationId xmlns:a16="http://schemas.microsoft.com/office/drawing/2014/main" id="{9475BE00-4112-494A-B94A-9E01FD2FB003}"/>
            </a:ext>
          </a:extLst>
        </xdr:cNvPr>
        <xdr:cNvSpPr/>
      </xdr:nvSpPr>
      <xdr:spPr>
        <a:xfrm>
          <a:off x="5480050" y="603250"/>
          <a:ext cx="3524250" cy="1504950"/>
        </a:xfrm>
        <a:prstGeom prst="round1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C2B0F994-EA5A-43CC-B2E0-0EC3462ECF80}" type="TxLink">
            <a:rPr lang="en-US" sz="72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cs typeface="Calibri"/>
            </a:rPr>
            <a:pPr algn="r"/>
            <a:t>33</a:t>
          </a:fld>
          <a:endParaRPr lang="es-CR" sz="7200">
            <a:solidFill>
              <a:schemeClr val="accent2"/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5</xdr:col>
      <xdr:colOff>641350</xdr:colOff>
      <xdr:row>3</xdr:row>
      <xdr:rowOff>127000</xdr:rowOff>
    </xdr:from>
    <xdr:to>
      <xdr:col>7</xdr:col>
      <xdr:colOff>438150</xdr:colOff>
      <xdr:row>7</xdr:row>
      <xdr:rowOff>120650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5FBE9DA-AB4B-4001-A1A1-B859164B9F77}"/>
            </a:ext>
          </a:extLst>
        </xdr:cNvPr>
        <xdr:cNvSpPr txBox="1"/>
      </xdr:nvSpPr>
      <xdr:spPr>
        <a:xfrm>
          <a:off x="5524500" y="679450"/>
          <a:ext cx="1320800" cy="730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R" sz="1800">
              <a:latin typeface="Franklin Gothic Demi Cond" panose="020B0706030402020204" pitchFamily="34" charset="0"/>
            </a:rPr>
            <a:t>Number of hires</a:t>
          </a:r>
        </a:p>
      </xdr:txBody>
    </xdr:sp>
    <xdr:clientData/>
  </xdr:twoCellAnchor>
  <xdr:twoCellAnchor>
    <xdr:from>
      <xdr:col>0</xdr:col>
      <xdr:colOff>196850</xdr:colOff>
      <xdr:row>13</xdr:row>
      <xdr:rowOff>139700</xdr:rowOff>
    </xdr:from>
    <xdr:to>
      <xdr:col>4</xdr:col>
      <xdr:colOff>273050</xdr:colOff>
      <xdr:row>20</xdr:row>
      <xdr:rowOff>114300</xdr:rowOff>
    </xdr:to>
    <xdr:sp macro="" textlink="[1]Analysis!B15">
      <xdr:nvSpPr>
        <xdr:cNvPr id="5" name="Rectángulo: esquinas redondeadas 4">
          <a:extLst>
            <a:ext uri="{FF2B5EF4-FFF2-40B4-BE49-F238E27FC236}">
              <a16:creationId xmlns:a16="http://schemas.microsoft.com/office/drawing/2014/main" id="{2A39F696-7584-4F6D-8DAC-7A13E13F49B1}"/>
            </a:ext>
          </a:extLst>
        </xdr:cNvPr>
        <xdr:cNvSpPr/>
      </xdr:nvSpPr>
      <xdr:spPr>
        <a:xfrm>
          <a:off x="196850" y="2533650"/>
          <a:ext cx="4197350" cy="1263650"/>
        </a:xfrm>
        <a:prstGeom prst="round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AF7262C4-127C-4826-B199-4EDEA5B9DF98}" type="TxLink">
            <a:rPr lang="en-US" sz="36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cs typeface="Calibri"/>
            </a:rPr>
            <a:pPr algn="r"/>
            <a:t>603</a:t>
          </a:fld>
          <a:endParaRPr lang="es-CR" sz="16600">
            <a:solidFill>
              <a:schemeClr val="accent2"/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0</xdr:col>
      <xdr:colOff>241300</xdr:colOff>
      <xdr:row>14</xdr:row>
      <xdr:rowOff>31750</xdr:rowOff>
    </xdr:from>
    <xdr:to>
      <xdr:col>2</xdr:col>
      <xdr:colOff>342900</xdr:colOff>
      <xdr:row>18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25C14A3-532A-4061-BB27-A67827CF0507}"/>
            </a:ext>
          </a:extLst>
        </xdr:cNvPr>
        <xdr:cNvSpPr txBox="1"/>
      </xdr:nvSpPr>
      <xdr:spPr>
        <a:xfrm>
          <a:off x="241300" y="2609850"/>
          <a:ext cx="2317750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R" sz="1800">
              <a:latin typeface="Franklin Gothic Demi Cond" panose="020B0706030402020204" pitchFamily="34" charset="0"/>
            </a:rPr>
            <a:t>Number of</a:t>
          </a:r>
          <a:r>
            <a:rPr lang="es-CR" sz="1800" baseline="0">
              <a:latin typeface="Franklin Gothic Demi Cond" panose="020B0706030402020204" pitchFamily="34" charset="0"/>
            </a:rPr>
            <a:t> Employees on Bench</a:t>
          </a:r>
          <a:endParaRPr lang="es-CR" sz="1800"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1</xdr:col>
      <xdr:colOff>241300</xdr:colOff>
      <xdr:row>18</xdr:row>
      <xdr:rowOff>82550</xdr:rowOff>
    </xdr:from>
    <xdr:to>
      <xdr:col>3</xdr:col>
      <xdr:colOff>177800</xdr:colOff>
      <xdr:row>20</xdr:row>
      <xdr:rowOff>19050</xdr:rowOff>
    </xdr:to>
    <xdr:sp macro="" textlink="[1]Analysis!C15">
      <xdr:nvSpPr>
        <xdr:cNvPr id="7" name="CuadroTexto 6">
          <a:extLst>
            <a:ext uri="{FF2B5EF4-FFF2-40B4-BE49-F238E27FC236}">
              <a16:creationId xmlns:a16="http://schemas.microsoft.com/office/drawing/2014/main" id="{AC352E81-02E0-42E5-B6F6-9AEB6E8D461B}"/>
            </a:ext>
          </a:extLst>
        </xdr:cNvPr>
        <xdr:cNvSpPr txBox="1"/>
      </xdr:nvSpPr>
      <xdr:spPr>
        <a:xfrm>
          <a:off x="1428750" y="3397250"/>
          <a:ext cx="21082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Performance:</a:t>
          </a:r>
          <a:r>
            <a:rPr lang="en-US" sz="1000" b="0" i="0" u="none" strike="noStrike" baseline="0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fld id="{23269167-E444-4C5D-90AB-5CFEF8376527}" type="TxLink">
            <a:rPr lang="en-US" sz="1000" b="0" i="0" u="none" strike="noStrike">
              <a:solidFill>
                <a:schemeClr val="accent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pPr/>
            <a:t>1827,27%</a:t>
          </a:fld>
          <a:endParaRPr lang="es-CR" sz="1000">
            <a:solidFill>
              <a:schemeClr val="accent2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603250</xdr:colOff>
      <xdr:row>13</xdr:row>
      <xdr:rowOff>139700</xdr:rowOff>
    </xdr:from>
    <xdr:to>
      <xdr:col>8</xdr:col>
      <xdr:colOff>679450</xdr:colOff>
      <xdr:row>20</xdr:row>
      <xdr:rowOff>114300</xdr:rowOff>
    </xdr:to>
    <xdr:sp macro="" textlink="[1]Analysis!B23">
      <xdr:nvSpPr>
        <xdr:cNvPr id="8" name="Rectángulo: esquinas redondeadas 7">
          <a:extLst>
            <a:ext uri="{FF2B5EF4-FFF2-40B4-BE49-F238E27FC236}">
              <a16:creationId xmlns:a16="http://schemas.microsoft.com/office/drawing/2014/main" id="{30D6325A-01B6-40DF-9E82-CBB96870099D}"/>
            </a:ext>
          </a:extLst>
        </xdr:cNvPr>
        <xdr:cNvSpPr/>
      </xdr:nvSpPr>
      <xdr:spPr>
        <a:xfrm>
          <a:off x="4724400" y="2533650"/>
          <a:ext cx="3124200" cy="1263650"/>
        </a:xfrm>
        <a:prstGeom prst="round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E0156E7D-8BE3-4765-AC46-6DFA86C23FA2}" type="TxLink">
            <a:rPr lang="en-US" sz="36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ea typeface="+mn-ea"/>
              <a:cs typeface="Calibri"/>
            </a:rPr>
            <a:pPr marL="0" indent="0" algn="r"/>
            <a:t>589</a:t>
          </a:fld>
          <a:endParaRPr lang="es-CR" sz="3600" b="0" i="0" u="none" strike="noStrike">
            <a:solidFill>
              <a:schemeClr val="accent2"/>
            </a:solidFill>
            <a:latin typeface="Franklin Gothic Demi Cond" panose="020B07060304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647700</xdr:colOff>
      <xdr:row>14</xdr:row>
      <xdr:rowOff>31750</xdr:rowOff>
    </xdr:from>
    <xdr:to>
      <xdr:col>7</xdr:col>
      <xdr:colOff>304800</xdr:colOff>
      <xdr:row>18</xdr:row>
      <xdr:rowOff>25400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DA4C58E-2400-41C5-B09A-47CED7CBA2E8}"/>
            </a:ext>
          </a:extLst>
        </xdr:cNvPr>
        <xdr:cNvSpPr txBox="1"/>
      </xdr:nvSpPr>
      <xdr:spPr>
        <a:xfrm>
          <a:off x="4768850" y="2609850"/>
          <a:ext cx="1943100" cy="730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R" sz="1800">
              <a:latin typeface="Franklin Gothic Demi Cond" panose="020B0706030402020204" pitchFamily="34" charset="0"/>
            </a:rPr>
            <a:t>Number of Placements</a:t>
          </a:r>
        </a:p>
      </xdr:txBody>
    </xdr:sp>
    <xdr:clientData/>
  </xdr:twoCellAnchor>
  <xdr:twoCellAnchor>
    <xdr:from>
      <xdr:col>5</xdr:col>
      <xdr:colOff>647700</xdr:colOff>
      <xdr:row>18</xdr:row>
      <xdr:rowOff>82550</xdr:rowOff>
    </xdr:from>
    <xdr:to>
      <xdr:col>7</xdr:col>
      <xdr:colOff>584200</xdr:colOff>
      <xdr:row>20</xdr:row>
      <xdr:rowOff>19050</xdr:rowOff>
    </xdr:to>
    <xdr:sp macro="" textlink="[1]Analysis!C23">
      <xdr:nvSpPr>
        <xdr:cNvPr id="10" name="CuadroTexto 9">
          <a:extLst>
            <a:ext uri="{FF2B5EF4-FFF2-40B4-BE49-F238E27FC236}">
              <a16:creationId xmlns:a16="http://schemas.microsoft.com/office/drawing/2014/main" id="{7AE7165A-8F12-4EA6-9768-04C1CD042BB0}"/>
            </a:ext>
          </a:extLst>
        </xdr:cNvPr>
        <xdr:cNvSpPr txBox="1"/>
      </xdr:nvSpPr>
      <xdr:spPr>
        <a:xfrm>
          <a:off x="5530850" y="3397250"/>
          <a:ext cx="1460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 u="none" strike="noStrike">
              <a:solidFill>
                <a:schemeClr val="accent2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Performance: </a:t>
          </a:r>
          <a:fld id="{FDFC5BB5-C86E-4510-9401-F6DC2C362A10}" type="TxLink">
            <a:rPr lang="en-US" sz="1000" b="0" i="0" u="none" strike="noStrike">
              <a:solidFill>
                <a:schemeClr val="accent2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/>
            <a:t>1784,85%</a:t>
          </a:fld>
          <a:endParaRPr lang="es-CR" sz="1000" b="0" i="0" u="none" strike="noStrike">
            <a:solidFill>
              <a:schemeClr val="accent2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9</xdr:col>
      <xdr:colOff>234950</xdr:colOff>
      <xdr:row>13</xdr:row>
      <xdr:rowOff>127000</xdr:rowOff>
    </xdr:from>
    <xdr:to>
      <xdr:col>13</xdr:col>
      <xdr:colOff>311150</xdr:colOff>
      <xdr:row>20</xdr:row>
      <xdr:rowOff>101600</xdr:rowOff>
    </xdr:to>
    <xdr:sp macro="" textlink="[1]Analysis!C27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7EDCCE9C-4EB3-4D91-BA91-24B8E5244E2C}"/>
            </a:ext>
          </a:extLst>
        </xdr:cNvPr>
        <xdr:cNvSpPr/>
      </xdr:nvSpPr>
      <xdr:spPr>
        <a:xfrm>
          <a:off x="8166100" y="2520950"/>
          <a:ext cx="3124200" cy="1263650"/>
        </a:xfrm>
        <a:prstGeom prst="round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F2E1E7C4-3B77-4E63-9D57-88D7094CB417}" type="TxLink">
            <a:rPr lang="en-US" sz="3600" b="0" i="0" u="none" strike="noStrike">
              <a:solidFill>
                <a:schemeClr val="accent2"/>
              </a:solidFill>
              <a:latin typeface="Franklin Gothic Demi Cond" panose="020B0706030402020204" pitchFamily="34" charset="0"/>
              <a:ea typeface="+mn-ea"/>
              <a:cs typeface="Calibri"/>
            </a:rPr>
            <a:pPr marL="0" indent="0" algn="r"/>
            <a:t>700,00%</a:t>
          </a:fld>
          <a:endParaRPr lang="es-CR" sz="3600" b="0" i="0" u="none" strike="noStrike">
            <a:solidFill>
              <a:schemeClr val="accent2"/>
            </a:solidFill>
            <a:latin typeface="Franklin Gothic Demi Cond" panose="020B07060304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279400</xdr:colOff>
      <xdr:row>14</xdr:row>
      <xdr:rowOff>19050</xdr:rowOff>
    </xdr:from>
    <xdr:to>
      <xdr:col>12</xdr:col>
      <xdr:colOff>419100</xdr:colOff>
      <xdr:row>17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8502FAD4-0DC3-45B4-BAA3-1E51CE5B31F6}"/>
            </a:ext>
          </a:extLst>
        </xdr:cNvPr>
        <xdr:cNvSpPr txBox="1"/>
      </xdr:nvSpPr>
      <xdr:spPr>
        <a:xfrm>
          <a:off x="8210550" y="2597150"/>
          <a:ext cx="24257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R" sz="1800">
              <a:latin typeface="Franklin Gothic Demi Cond" panose="020B0706030402020204" pitchFamily="34" charset="0"/>
            </a:rPr>
            <a:t>Employee</a:t>
          </a:r>
          <a:r>
            <a:rPr lang="es-CR" sz="1800" baseline="0">
              <a:latin typeface="Franklin Gothic Demi Cond" panose="020B0706030402020204" pitchFamily="34" charset="0"/>
            </a:rPr>
            <a:t> </a:t>
          </a:r>
          <a:r>
            <a:rPr lang="es-CR" sz="1800">
              <a:latin typeface="Franklin Gothic Demi Cond" panose="020B0706030402020204" pitchFamily="34" charset="0"/>
            </a:rPr>
            <a:t>turnover</a:t>
          </a:r>
          <a:r>
            <a:rPr lang="es-CR" sz="1800" baseline="0">
              <a:latin typeface="Franklin Gothic Demi Cond" panose="020B0706030402020204" pitchFamily="34" charset="0"/>
            </a:rPr>
            <a:t> </a:t>
          </a:r>
        </a:p>
        <a:p>
          <a:pPr algn="l"/>
          <a:r>
            <a:rPr lang="es-CR" sz="1800" baseline="0">
              <a:latin typeface="Franklin Gothic Demi Cond" panose="020B0706030402020204" pitchFamily="34" charset="0"/>
            </a:rPr>
            <a:t>Rate</a:t>
          </a:r>
          <a:endParaRPr lang="es-CR" sz="1800"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10</xdr:col>
      <xdr:colOff>279400</xdr:colOff>
      <xdr:row>18</xdr:row>
      <xdr:rowOff>69850</xdr:rowOff>
    </xdr:from>
    <xdr:to>
      <xdr:col>12</xdr:col>
      <xdr:colOff>215900</xdr:colOff>
      <xdr:row>20</xdr:row>
      <xdr:rowOff>6350</xdr:rowOff>
    </xdr:to>
    <xdr:sp macro="" textlink="[1]Analysis!B27">
      <xdr:nvSpPr>
        <xdr:cNvPr id="13" name="CuadroTexto 12">
          <a:extLst>
            <a:ext uri="{FF2B5EF4-FFF2-40B4-BE49-F238E27FC236}">
              <a16:creationId xmlns:a16="http://schemas.microsoft.com/office/drawing/2014/main" id="{20DDBC7F-E6FB-44C9-B98A-66299B6C7EB1}"/>
            </a:ext>
          </a:extLst>
        </xdr:cNvPr>
        <xdr:cNvSpPr txBox="1"/>
      </xdr:nvSpPr>
      <xdr:spPr>
        <a:xfrm>
          <a:off x="8972550" y="3384550"/>
          <a:ext cx="1460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000" b="0" i="0" u="none" strike="noStrike">
              <a:solidFill>
                <a:schemeClr val="accent2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Separations: </a:t>
          </a:r>
          <a:fld id="{9EBD340A-B078-47A9-98C6-33AAA5EAB240}" type="TxLink">
            <a:rPr lang="en-US" sz="1000" b="0" i="0" u="none" strike="noStrike">
              <a:solidFill>
                <a:schemeClr val="accent2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231</a:t>
          </a:fld>
          <a:endParaRPr lang="es-CR" sz="1000" b="0" i="0" u="none" strike="noStrike">
            <a:solidFill>
              <a:schemeClr val="accent2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13</xdr:col>
      <xdr:colOff>641350</xdr:colOff>
      <xdr:row>3</xdr:row>
      <xdr:rowOff>101601</xdr:rowOff>
    </xdr:from>
    <xdr:to>
      <xdr:col>17</xdr:col>
      <xdr:colOff>450850</xdr:colOff>
      <xdr:row>16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Area">
              <a:extLst>
                <a:ext uri="{FF2B5EF4-FFF2-40B4-BE49-F238E27FC236}">
                  <a16:creationId xmlns:a16="http://schemas.microsoft.com/office/drawing/2014/main" id="{D48DEDD7-92AD-4AB7-BD33-1F9F939751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3508" y="663075"/>
              <a:ext cx="2857500" cy="2420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666750</xdr:colOff>
      <xdr:row>3</xdr:row>
      <xdr:rowOff>44450</xdr:rowOff>
    </xdr:from>
    <xdr:to>
      <xdr:col>21</xdr:col>
      <xdr:colOff>323850</xdr:colOff>
      <xdr:row>16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lmacén">
              <a:extLst>
                <a:ext uri="{FF2B5EF4-FFF2-40B4-BE49-F238E27FC236}">
                  <a16:creationId xmlns:a16="http://schemas.microsoft.com/office/drawing/2014/main" id="{5A97FAC1-8182-4ACA-9A2F-0DB75F3F33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macé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96908" y="605924"/>
              <a:ext cx="2705100" cy="24648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444165</xdr:colOff>
      <xdr:row>20</xdr:row>
      <xdr:rowOff>152065</xdr:rowOff>
    </xdr:from>
    <xdr:to>
      <xdr:col>14</xdr:col>
      <xdr:colOff>120315</xdr:colOff>
      <xdr:row>36</xdr:row>
      <xdr:rowOff>139365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E520665-164A-44DB-982D-8FECE4E08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317835</xdr:colOff>
      <xdr:row>17</xdr:row>
      <xdr:rowOff>65171</xdr:rowOff>
    </xdr:from>
    <xdr:to>
      <xdr:col>21</xdr:col>
      <xdr:colOff>590885</xdr:colOff>
      <xdr:row>35</xdr:row>
      <xdr:rowOff>228934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22E48A3-68A1-447E-B42C-D921D243A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929102</xdr:colOff>
      <xdr:row>39</xdr:row>
      <xdr:rowOff>160421</xdr:rowOff>
    </xdr:from>
    <xdr:to>
      <xdr:col>1</xdr:col>
      <xdr:colOff>1015997</xdr:colOff>
      <xdr:row>41</xdr:row>
      <xdr:rowOff>1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716CACB-0ACE-40B7-890B-28C8DD80E17D}"/>
            </a:ext>
          </a:extLst>
        </xdr:cNvPr>
        <xdr:cNvSpPr txBox="1"/>
      </xdr:nvSpPr>
      <xdr:spPr>
        <a:xfrm>
          <a:off x="929102" y="7691521"/>
          <a:ext cx="1274345" cy="214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800" b="1">
              <a:solidFill>
                <a:sysClr val="windowText" lastClr="000000"/>
              </a:solidFill>
            </a:rPr>
            <a:t>vs National Average 23%</a:t>
          </a:r>
        </a:p>
      </xdr:txBody>
    </xdr:sp>
    <xdr:clientData/>
  </xdr:twoCellAnchor>
  <xdr:twoCellAnchor>
    <xdr:from>
      <xdr:col>2</xdr:col>
      <xdr:colOff>647031</xdr:colOff>
      <xdr:row>39</xdr:row>
      <xdr:rowOff>145713</xdr:rowOff>
    </xdr:from>
    <xdr:to>
      <xdr:col>4</xdr:col>
      <xdr:colOff>6684</xdr:colOff>
      <xdr:row>40</xdr:row>
      <xdr:rowOff>187157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7F29DDA-CDAC-4AA2-A3FA-9D4B783ED4A9}"/>
            </a:ext>
          </a:extLst>
        </xdr:cNvPr>
        <xdr:cNvSpPr txBox="1"/>
      </xdr:nvSpPr>
      <xdr:spPr>
        <a:xfrm>
          <a:off x="2863181" y="7676813"/>
          <a:ext cx="1264653" cy="225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800" b="1">
              <a:solidFill>
                <a:sysClr val="windowText" lastClr="000000"/>
              </a:solidFill>
            </a:rPr>
            <a:t>vs National Average 60%</a:t>
          </a:r>
        </a:p>
      </xdr:txBody>
    </xdr:sp>
    <xdr:clientData/>
  </xdr:twoCellAnchor>
  <xdr:twoCellAnchor editAs="oneCell">
    <xdr:from>
      <xdr:col>1</xdr:col>
      <xdr:colOff>501318</xdr:colOff>
      <xdr:row>36</xdr:row>
      <xdr:rowOff>40107</xdr:rowOff>
    </xdr:from>
    <xdr:to>
      <xdr:col>1</xdr:col>
      <xdr:colOff>895686</xdr:colOff>
      <xdr:row>38</xdr:row>
      <xdr:rowOff>60159</xdr:rowOff>
    </xdr:to>
    <xdr:pic>
      <xdr:nvPicPr>
        <xdr:cNvPr id="20" name="Gráfico 19" descr="Sun contorno">
          <a:extLst>
            <a:ext uri="{FF2B5EF4-FFF2-40B4-BE49-F238E27FC236}">
              <a16:creationId xmlns:a16="http://schemas.microsoft.com/office/drawing/2014/main" id="{D213F7E2-C6BA-46C8-88C4-7CDF7EF44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88768" y="7018757"/>
          <a:ext cx="394368" cy="388352"/>
        </a:xfrm>
        <a:prstGeom prst="rect">
          <a:avLst/>
        </a:prstGeom>
      </xdr:spPr>
    </xdr:pic>
    <xdr:clientData/>
  </xdr:twoCellAnchor>
  <xdr:twoCellAnchor editAs="oneCell">
    <xdr:from>
      <xdr:col>3</xdr:col>
      <xdr:colOff>300790</xdr:colOff>
      <xdr:row>36</xdr:row>
      <xdr:rowOff>6684</xdr:rowOff>
    </xdr:from>
    <xdr:to>
      <xdr:col>3</xdr:col>
      <xdr:colOff>735263</xdr:colOff>
      <xdr:row>38</xdr:row>
      <xdr:rowOff>66841</xdr:rowOff>
    </xdr:to>
    <xdr:pic>
      <xdr:nvPicPr>
        <xdr:cNvPr id="21" name="Gráfico 20" descr="Moon contorno">
          <a:extLst>
            <a:ext uri="{FF2B5EF4-FFF2-40B4-BE49-F238E27FC236}">
              <a16:creationId xmlns:a16="http://schemas.microsoft.com/office/drawing/2014/main" id="{573D756B-B3C3-477C-93EA-EC5A6E49D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659940" y="6985334"/>
          <a:ext cx="434473" cy="4284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ly\Downloads\HR%20Analytics.xlsx" TargetMode="External"/><Relationship Id="rId1" Type="http://schemas.openxmlformats.org/officeDocument/2006/relationships/externalLinkPath" Target="HR%20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nalysis"/>
      <sheetName val="Dashboard"/>
    </sheetNames>
    <sheetDataSet>
      <sheetData sheetId="0"/>
      <sheetData sheetId="1">
        <row r="5">
          <cell r="G5">
            <v>200</v>
          </cell>
        </row>
        <row r="6">
          <cell r="G6">
            <v>50</v>
          </cell>
        </row>
        <row r="7">
          <cell r="G7">
            <v>100</v>
          </cell>
        </row>
        <row r="8">
          <cell r="G8">
            <v>50</v>
          </cell>
        </row>
        <row r="9">
          <cell r="G9">
            <v>200</v>
          </cell>
        </row>
        <row r="10">
          <cell r="G10">
            <v>40</v>
          </cell>
        </row>
        <row r="11">
          <cell r="G11">
            <v>640</v>
          </cell>
        </row>
        <row r="59">
          <cell r="D59">
            <v>0.27137042062415195</v>
          </cell>
        </row>
        <row r="66">
          <cell r="D66">
            <v>0.37349397590361444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R%20Analytic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" refreshedDate="46121.570957870368" createdVersion="8" refreshedVersion="8" minRefreshableVersion="3" recordCount="820" xr:uid="{F264D985-7CD8-4730-8CDB-06F5CBAA0370}">
  <cacheSource type="worksheet">
    <worksheetSource name="Data" r:id="rId2"/>
  </cacheSource>
  <cacheFields count="10">
    <cacheField name="Nombre" numFmtId="0">
      <sharedItems count="620">
        <s v="Kimberli Okelly  "/>
        <s v="Lavern Fuhrman  "/>
        <s v="Ghislaine Bodie  "/>
        <s v="Dianne Mayweather  "/>
        <s v="Myron Gustavson  "/>
        <s v="Maryjane Condie  "/>
        <s v="Carissa Gallegos  "/>
        <s v="Mirtha Knabe  "/>
        <s v="Mia Slavin  "/>
        <s v="Aurelia Joerling  "/>
        <s v="Ria Nordby  "/>
        <s v="Gale Hidalgo  "/>
        <s v="Hobert Newburn  "/>
        <s v="Edda Tatman  "/>
        <s v="Carla Boulay  "/>
        <s v="Suzan Ash  "/>
        <s v="Pennie Raab  "/>
        <s v="Rosita Kash  "/>
        <s v="Sanjuanita Voll  "/>
        <s v="Eulalia Petro  "/>
        <s v="Daina Hawkin  "/>
        <s v="Sina Savory  "/>
        <s v="Nakesha Opie  "/>
        <s v="Aleshia Boissonneault  "/>
        <s v="Valorie Minks  "/>
        <s v="Bob Germann  "/>
        <s v="Gwenda Crossno  "/>
        <s v="Ming Jeske  "/>
        <s v="Evan Sereno  "/>
        <s v="Darcie Drexler  "/>
        <s v="Ursula Sonnenberg  "/>
        <s v="Reita Lynde  "/>
        <s v="Mario Beaston  "/>
        <s v="Mirian Chupp  "/>
        <s v="Deena Acquaviva  "/>
        <s v="Dotty Trigg  "/>
        <s v="Piper Lapine  "/>
        <s v="Audie Sheppard  "/>
        <s v="Evangelina Rolf  "/>
        <s v="Rayna Laprade  "/>
        <s v="Kristeen Gleeson  "/>
        <s v="Sharlene Shawn  "/>
        <s v="Blanca Crumbley  "/>
        <s v="Lon Bradbury  "/>
        <s v="Barrie Kreamer  "/>
        <s v="Muoi Brecht  "/>
        <s v="Margeret Lazar  "/>
        <s v="Shon Jordan  "/>
        <s v="Doreen Breeden  "/>
        <s v="Georgeanna Navarra  "/>
        <s v="Virgen Mieles  "/>
        <s v="Jacqulyn Waterbury  "/>
        <s v="Hildegarde Seger  "/>
        <s v="Sammy Laguerre  "/>
        <s v="Jeffery Heiser  "/>
        <s v="Ok Reynosa  "/>
        <s v="Helaine Doucet  "/>
        <s v="Rodolfo Ragland  "/>
        <s v="Thomasena Quisenberry  "/>
        <s v="Ariel Buskirk  "/>
        <s v="Jerilyn Scalf  "/>
        <s v="Julian Hodson  "/>
        <s v="Marilyn Ketterman  "/>
        <s v="Jonna Riddell  "/>
        <s v="Dyan Redeker  "/>
        <s v="Nicolle Wyland  "/>
        <s v="Marvel Durden  "/>
        <s v="Trudy Asencio  "/>
        <s v="Nakisha Nowland  "/>
        <s v="Kiesha Viola  "/>
        <s v="Ema Pharr  "/>
        <s v="Kera Burkey  "/>
        <s v="Tuyet Kearley  "/>
        <s v="Joya Jenson  "/>
        <s v="Shawn Lokken  "/>
        <s v="Lucas Stoney  "/>
        <s v="Reggie Shenkel  "/>
        <s v="Jeanine Stillson  "/>
        <s v="Marylin Seigler  "/>
        <s v="Alease Jacques  "/>
        <s v="Myesha Dietz  "/>
        <s v="Dedra Dubrey  "/>
        <s v="Jackie Valle  "/>
        <s v="Elmira Riggleman  "/>
        <s v="Pansy Suman  "/>
        <s v="Vanda Forsberg  "/>
        <s v="Sharmaine Santerre  "/>
        <s v="Desirae Cluck  "/>
        <s v="Janae Infantino  "/>
        <s v="Regina Montoya  "/>
        <s v="Roselyn Bukowski  "/>
        <s v="Fatimah Damm  "/>
        <s v="Wilma Gainey  "/>
        <s v="Dee Conley  "/>
        <s v="Anh Schreck  "/>
        <s v="Arianne Phillip  "/>
        <s v="Tyesha Agostini  "/>
        <s v="Brandie Bodner  "/>
        <s v="Nichol Providence  "/>
        <s v="Malena Hollingshead  "/>
        <s v="Lucile Mims  "/>
        <s v="Shelly Snapp  "/>
        <s v="Necole Stockton  "/>
        <s v="Catherine Mundell  "/>
        <s v="Arron Rennick  "/>
        <s v="Leslie Wasilewski  "/>
        <s v="Kayleigh Gallien  "/>
        <s v="Xiomara Olah  "/>
        <s v="Rosalia Peake  "/>
        <s v="Jacqui Pentz  "/>
        <s v="Tilda Hansell  "/>
        <s v="Boris Troxel  "/>
        <s v="Lynne Saeger  "/>
        <s v="Vincent Frum  "/>
        <s v="Ronny Milligan  "/>
        <s v="Kenyatta Sulton  "/>
        <s v="Winford Curington  "/>
        <s v="Teena Bagnell  "/>
        <s v="Barb Ottley  "/>
        <s v="Kiera Feit  "/>
        <s v="Edmundo Mallow  "/>
        <s v="Dorsey Reagan  "/>
        <s v="Irina Kono  "/>
        <s v="Tammi Tierney  "/>
        <s v="Teddy Ortego  "/>
        <s v="Teofila Stella  "/>
        <s v="Vernie Debnam  "/>
        <s v="Shasta Bruhn  "/>
        <s v="Lynda Flournoy  "/>
        <s v="Ada Roane  "/>
        <s v="Valeria Phelan  "/>
        <s v="Lucina Caraway  "/>
        <s v="Jeromy Sane  "/>
        <s v="Tomas Murdock  "/>
        <s v="Casie Macky  "/>
        <s v="Phylicia Carrasquillo  "/>
        <s v="Catrice Moyers  "/>
        <s v="Candra Ruby  "/>
        <s v="Ettie Doria  "/>
        <s v="Shawana Calles  "/>
        <s v="Lanita Blanchette  "/>
        <s v="Elnora Banda  "/>
        <s v="Andria Deibel  "/>
        <s v="Babette Kinnaird  "/>
        <s v="Abdul Weist  "/>
        <s v="Dorthy Colosimo  "/>
        <s v="Jolanda Griner  "/>
        <s v="Virgina Anchondo  "/>
        <s v="Ileen Phares  "/>
        <s v="Rafaela Maney  "/>
        <s v="Jesenia Schenk  "/>
        <s v="Dana Constable  "/>
        <s v="Catina Bergdoll  "/>
        <s v="Loyd Branscum  "/>
        <s v="Jacquelynn Borth  "/>
        <s v="Ophelia Kendra  "/>
        <s v="Carrie Klick  "/>
        <s v="Sharyl Saad  "/>
        <s v="Haywood Wamsley  "/>
        <s v="Marica Zalenski  "/>
        <s v="Miquel Jacoby  "/>
        <s v="Ai Doyel  "/>
        <s v="Elisa Tedrick  "/>
        <s v="Pura Fergerson  "/>
        <s v="Lashawnda Franklin  "/>
        <s v="Andreas Cottman  "/>
        <s v="Dario Lackner  "/>
        <s v="Marisol Risinger  "/>
        <s v="Mikki Cryan  "/>
        <s v="Melvina Blackman  "/>
        <s v="Breana Kalina  "/>
        <s v="Alene Baldonado  "/>
        <s v="Rea Wehner  "/>
        <s v="Jody Zabala  "/>
        <s v="Rebbecca Farley  "/>
        <s v="Claudie Applin  "/>
        <s v="Carlyn Wissing  "/>
        <s v="Alina Hodnett  "/>
        <s v="Eva Claussen  "/>
        <s v="Letisha Holman  "/>
        <s v="Hisako Robuck  "/>
        <s v="Mariana Boyce  "/>
        <s v="Brenda Cullens  "/>
        <s v="Ebonie Kunzman  "/>
        <s v="Rachell Hendren  "/>
        <s v="Serita Purtee  "/>
        <s v="Joan Holford  "/>
        <s v="Nora Mcwhirt  "/>
        <s v="Ali Powe  "/>
        <s v="Philip Fannin  "/>
        <s v="Terina Yearta  "/>
        <s v="Aleisha Nicol  "/>
        <s v="Machelle Ingles  "/>
        <s v="Cecily Edge  "/>
        <s v="Billie Nunnally  "/>
        <s v="Magnolia Farias  "/>
        <s v="Santana Whitson  "/>
        <s v="Nigel Kuhl  "/>
        <s v="Diamond Bayless  "/>
        <s v="Jeanna Nicolai  "/>
        <s v="Enrique Banister  "/>
        <s v="Bennett Holman  "/>
        <s v="Ena Wille  "/>
        <s v="Madalyn Morissette  "/>
        <s v="Kali Mahr  "/>
        <s v="Lura Neiss  "/>
        <s v="Nona Vasques  "/>
        <s v="Kenny Carrel  "/>
        <s v="Georgene Mcminn  "/>
        <s v="Peggy Texada  "/>
        <s v="Micheline Broughton  "/>
        <s v="Maragaret Brickhouse  "/>
        <s v="Drema Reasor  "/>
        <s v="Oralia Jarrells  "/>
        <s v="Valentine Schneider  "/>
        <s v="Regena Batie  "/>
        <s v="Octavio Dworkin  "/>
        <s v="Joye Denmon  "/>
        <s v="Nichol Delapena  "/>
        <s v="Nannette Oritz  "/>
        <s v="Brittni Schweiger  "/>
        <s v="Margarita Schlenker  "/>
        <s v="Christian Zeiler  "/>
        <s v="Loura Hoang  "/>
        <s v="Kala Kirwin  "/>
        <s v="Marine Blust  "/>
        <s v="Ricky Heng  "/>
        <s v="Sheridan Kita  "/>
        <s v="Nicolette Gutowski  "/>
        <s v="Halina Neveu  "/>
        <s v="Maynard Laubach  "/>
        <s v="Star Decuir  "/>
        <s v="Raye Carney  "/>
        <s v="Cammie Gant  "/>
        <s v="Sharonda Koon  "/>
        <s v="Coretta Lafferty  "/>
        <s v="Raphael Augusta  "/>
        <s v="Elias Fordham  "/>
        <s v="Bianca Bethke  "/>
        <s v="Zulema Fajardo  "/>
        <s v="Janyce Leachman  "/>
        <s v="Kelvin Halbrook  "/>
        <s v="Lemuel Huntoon  "/>
        <s v="Wally Millikin  "/>
        <s v="Kirby Apel  "/>
        <s v="Ramonita Penaflor  "/>
        <s v="Lawana Grisham  "/>
        <s v="Niesha Sircy  "/>
        <s v="Lelia Tyler  "/>
        <s v="Janis Koepke  "/>
        <s v="Freeman Vancamp  "/>
        <s v="Fidelia Vitela  "/>
        <s v="Phyliss Putney  "/>
        <s v="Arnulfo Balke  "/>
        <s v="Heath Blanchard  "/>
        <s v="Ciera Brezinski  "/>
        <s v="Leonida Eddie  "/>
        <s v="Chelsea Tineo  "/>
        <s v="Hillary Hilderbrand  "/>
        <s v="Danette Eisner  "/>
        <s v="Kayce Dubuque  "/>
        <s v="Vanesa Becher  "/>
        <s v="Dinorah Peter  "/>
        <s v="Anibal Reed  "/>
        <s v="Alica Couvillion  "/>
        <s v="Lilia Avant  "/>
        <s v="Lula Shropshire  "/>
        <s v="Jeramy Mattia  "/>
        <s v="Elaina Hartnett  "/>
        <s v="Eldora Balfour  "/>
        <s v="Merrilee Fiala  "/>
        <s v="Arie Jimerson  "/>
        <s v="Serena Patty  "/>
        <s v="Neda Tuten  "/>
        <s v="Ma Livers  "/>
        <s v="Charlene Mascorro  "/>
        <s v="Savanna Gianni  "/>
        <s v="Nick Privette  "/>
        <s v="Doretta Cornett  "/>
        <s v="Lyda Hubble  "/>
        <s v="Grover Nuzzo  "/>
        <s v="Anisa Herald  "/>
        <s v="Diedra Cowher  "/>
        <s v="Sharleen Ritenour  "/>
        <s v="Rosie Roehl  "/>
        <s v="Sharron Dexter  "/>
        <s v="Billie Vue  "/>
        <s v="Marisela Cagley  "/>
        <s v="Danyelle Rachel  "/>
        <s v="Nita Hoekstra  "/>
        <s v="Daphne Laycock  "/>
        <s v="Wei Toomer  "/>
        <s v="Nelida Waits  "/>
        <s v="Agatha Broomfield  "/>
        <s v="Maritza Katzer  "/>
        <s v="Cayla Lemelle  "/>
        <s v="Nieves Michaux  "/>
        <s v="Sara Glascock  "/>
        <s v="Jolene Hewey  "/>
        <s v="Maryellen Sabin  "/>
        <s v="Nga Noffsinger  "/>
        <s v="Eboni Stansberry  "/>
        <s v="Shirly Mccuiston  "/>
        <s v="Lilliana Fuchs  "/>
        <s v="Tori Cantara  "/>
        <s v="Gertrud Marlow  "/>
        <s v="Marci Downard  "/>
        <s v="Hsiu Westfield  "/>
        <s v="Madeline Rainwater  "/>
        <s v="Debroah Stecklein  "/>
        <s v="Carmela Wiser  "/>
        <s v="Jarrett Villagran  "/>
        <s v="Davida Angle  "/>
        <s v="Tammera Pinder  "/>
        <s v="Elmo Rozell  "/>
        <s v="Joy Symonds  "/>
        <s v="Bettie Lindberg  "/>
        <s v="Kathlene Hendrixson  "/>
        <s v="Rudolph Deane  "/>
        <s v="Olimpia Siu  "/>
        <s v="Shelby Hakala  "/>
        <s v="Eileen Brazelton  "/>
        <s v="Christie Dagley  "/>
        <s v="Kerstin Deschamp  "/>
        <s v="Adelia Ferrill  "/>
        <s v="Tonia Dann  "/>
        <s v="Hollis Severson  "/>
        <s v="Eugenie Brashear  "/>
        <s v="Diana Pusey  "/>
        <s v="Pearline Febres  "/>
        <s v="Santina Ginyard  "/>
        <s v="Howard Wimsatt  "/>
        <s v="Florinda Quaranta  "/>
        <s v="Dianne Astin  "/>
        <s v="Alicia Melo  "/>
        <s v="Renetta Aubuchon  "/>
        <s v="Winona Alexandre  "/>
        <s v="Aileen Polzin  "/>
        <s v="Alishia Nutter  "/>
        <s v="Kyla Larios  "/>
        <s v="Santos Whisenhunt  "/>
        <s v="Hugo Stiger  "/>
        <s v="Onie Brunner  "/>
        <s v="Margaretta Weast  "/>
        <s v="Marcos Manigault  "/>
        <s v="Dorothea Millman  "/>
        <s v="Marcus Partlow  "/>
        <s v="Chet Blakeslee  "/>
        <s v="Leland Hice  "/>
        <s v="Josh Macgregor  "/>
        <s v="Sharlene Rozzi  "/>
        <s v="Maura Cun  "/>
        <s v="Victorina Mayoral  "/>
        <s v="Keith Slowik  "/>
        <s v="Tu Zeck  "/>
        <s v="Robt Chicoine  "/>
        <s v="Janna Gaither  "/>
        <s v="Kelly Finneran  "/>
        <s v="Sharilyn Mcgarry  "/>
        <s v="Ophelia Walling  "/>
        <s v="Carmel Gamble  "/>
        <s v="Erma Harries  "/>
        <s v="Annemarie Pak  "/>
        <s v="Iliana Tillis  "/>
        <s v="Ellis Cortright  "/>
        <s v="Reggie Haygood  "/>
        <s v="Bert Brumfield  "/>
        <s v="Jazmin Lasker  "/>
        <s v="Tom Resendiz  "/>
        <s v="Fanny Cappello  "/>
        <s v="Samara Hooten  "/>
        <s v="Inez Belanger  "/>
        <s v="Crissy Simmon  "/>
        <s v="Shanell Hinds  "/>
        <s v="Imogene Mcdivitt  "/>
        <s v="Tamiko Rybak  "/>
        <s v="Kasha Mcmurtry  "/>
        <s v="Ed Jimison  "/>
        <s v="Towanda Prochaska  "/>
        <s v="Jetta Pearce  "/>
        <s v="Maida Bundren  "/>
        <s v="Althea La  "/>
        <s v="Jena Zak  "/>
        <s v="Elijah Baughman  "/>
        <s v="Delta Myron  "/>
        <s v="Serafina Carrasco  "/>
        <s v="Keven Chapman  "/>
        <s v="Zonia Bown  "/>
        <s v="Shavonda Rawlings  "/>
        <s v="Venita Dessert  "/>
        <s v="Paz Neal  "/>
        <s v="Lu Salvo  "/>
        <s v="Margherita Ruddy  "/>
        <s v="Ayako Oba  "/>
        <s v="Yen Wigger  "/>
        <s v="Sherrie Atencio  "/>
        <s v="Karlyn Poulson  "/>
        <s v="Jenette Guadalupe  "/>
        <s v="Walker Hopwood  "/>
        <s v="Larae Shadwick  "/>
        <s v="Autumn Balch  "/>
        <s v="Charita Yamanaka  "/>
        <s v="Earlie Cowher  "/>
        <s v="Kasi Belair  "/>
        <s v="Melodee Roots  "/>
        <s v="Valeri Tennant  "/>
        <s v="Isiah Bradshaw  "/>
        <s v="Teressa Fegley  "/>
        <s v="Laine Delia  "/>
        <s v="Edna Harriston  "/>
        <s v="Romelia Blessing  "/>
        <s v="Giovanna Bardsley  "/>
        <s v="Bernie Garling  "/>
        <s v="Robena Scarlett  "/>
        <s v="Isabella Penney  "/>
        <s v="Hilaria Gallagher  "/>
        <s v="Cyndi Stelly  "/>
        <s v="Reagan Stalzer  "/>
        <s v="Giuseppe Mccarley  "/>
        <s v="Garth Pennebaker  "/>
        <s v="Dena Huyser  "/>
        <s v="Alaina Wieck  "/>
        <s v="Rosemarie Monsivais  "/>
        <s v="Nakita Schepis  "/>
        <s v="Felicita Lennon  "/>
        <s v="Terese Cousineau  "/>
        <s v="Twyla Jagodzinski  "/>
        <s v="Claudie Marinez  "/>
        <s v="Krystal Mcconnaughy  "/>
        <s v="Keenan Ackman  "/>
        <s v="Charity Orr  "/>
        <s v="Elba Mcmullan  "/>
        <s v="Fran Garg  "/>
        <s v="Mana Goodlow  "/>
        <s v="Katrice Redwine  "/>
        <s v="Susy Mcclinton  "/>
        <s v="Hyman Ziebarth  "/>
        <s v="Alfred Lilienthal  "/>
        <s v="Andrea Moores  "/>
        <s v="Cherelle Bushey  "/>
        <s v="Tanna Mceuen  "/>
        <s v="Bailey Krieg  "/>
        <s v="Carlo Dunker  "/>
        <s v="Basil Ippolito  "/>
        <s v="Leta Kamaka  "/>
        <s v="Rafael Brumm  "/>
        <s v="Jolynn Mosser  "/>
        <s v="Pearlie Tolliver  "/>
        <s v="Sonny Rife  "/>
        <s v="Len Bitner  "/>
        <s v="Bettina Bonenfant  "/>
        <s v="Vicki Purdum  "/>
        <s v="Alex Pass  "/>
        <s v="Herminia Pakele  "/>
        <s v="Isabella Jameson  "/>
        <s v="Jeanette Linn  "/>
        <s v="Lona Merriam  "/>
        <s v="Shirlene Stahler  "/>
        <s v="Lashunda Leadbetter  "/>
        <s v="Jamika Torrence  "/>
        <s v="Gregg Carroll  "/>
        <s v="Teresita Lux  "/>
        <s v="Fredia Farnes  "/>
        <s v="Laurel Wallner  "/>
        <s v="Yong Vanduyn  "/>
        <s v="Nelson Lamothe  "/>
        <s v="Sharika Barter  "/>
        <s v="Audrie Grosso  "/>
        <s v="Alayna Hamaker  "/>
        <s v="Willetta Sacco  "/>
        <s v="Kimbery Laguerre  "/>
        <s v="Trisha Tercero  "/>
        <s v="Stephanie Carlsen  "/>
        <s v="Lynetta Recio  "/>
        <s v="Natacha Pompa  "/>
        <s v="Everett Carabello  "/>
        <s v="Kiley Bowie  "/>
        <s v="Margherita Eckel  "/>
        <s v="Shayna Heilig  "/>
        <s v="Brittany Scholl  "/>
        <s v="Misti Humphreys  "/>
        <s v="Noble Upshaw  "/>
        <s v="Mitzi Winfield  "/>
        <s v="Agustina Perera  "/>
        <s v="Darla Sandusky  "/>
        <s v="Kenyatta Helt  "/>
        <s v="Colene Hynd  "/>
        <s v="Betty Leavy  "/>
        <s v="Lavina Burger  "/>
        <s v="Maryln Vanhoose  "/>
        <s v="Isiah Flores  "/>
        <s v="Leontine Siewert  "/>
        <s v="Liz Levinson  "/>
        <s v="Melisa Popa  "/>
        <s v="Albina Cram  "/>
        <s v="Patrica Pautz  "/>
        <s v="Zola Washer  "/>
        <s v="Travis Smoak  "/>
        <s v="Starr Streight  "/>
        <s v="Freeda Meissner  "/>
        <s v="Ernestine Ciesla  "/>
        <s v="Eugenia Fillmore  "/>
        <s v="Darius Pereyra  "/>
        <s v="Eduardo Summitt  "/>
        <s v="Sally Coach  "/>
        <s v="Arlen Nevius  "/>
        <s v="Mariel Montez  "/>
        <s v="Petronila Lastinger  "/>
        <s v="Lynda Quillin  "/>
        <s v="Mafalda Talavera  "/>
        <s v="Maximina Hunt  "/>
        <s v="Ruby Boros  "/>
        <s v="Odilia Millner  "/>
        <s v="Leigha Lair  "/>
        <s v="Javier Harder  "/>
        <s v="Numbers Heilmann  "/>
        <s v="Milagros Neblett  "/>
        <s v="Laurie Thiel  "/>
        <s v="Allyn Halcomb  "/>
        <s v="Gennie Mirabella  "/>
        <s v="Karie Ornellas  "/>
        <s v="Doloris Kinzer  "/>
        <s v="Wava Hartness  "/>
        <s v="Carma Haglund  "/>
        <s v="Brigitte Tinoco  "/>
        <s v="Kylie Erlandson  "/>
        <s v="Nila Moos  "/>
        <s v="Isadora Grizzle  "/>
        <s v="Edelmira Ruhl  "/>
        <s v="Ferne Galasso  "/>
        <s v="Elvin Mckinsey  "/>
        <s v="Sheron Hohn  "/>
        <s v="Alyson Crane  "/>
        <s v="Amal Haughton  "/>
        <s v="Floretta Woolverton  "/>
        <s v="Vicenta Figaro  "/>
        <s v="Zona Gann  "/>
        <s v="Edgardo Auguste  "/>
        <s v="Zulema Tadlock  "/>
        <s v="Aleisha Halverson  "/>
        <s v="Fritz Duckworth  "/>
        <s v="Edison Hellman  "/>
        <s v="Mikki Camarillo  "/>
        <s v="Cornell Reitz  "/>
        <s v="Teodora Vanderslice  "/>
        <s v="Rick Beauchamp  "/>
        <s v="Jeromy Acebedo  "/>
        <s v="Glennis Mirabal  "/>
        <s v="Quyen Duvall  "/>
        <s v="Dong Warner  "/>
        <s v="Jesica Puthoff  "/>
        <s v="Rose Heaney  "/>
        <s v="Rupert Aikins  "/>
        <s v="Zofia Hensley  "/>
        <s v="Demetrius Diego  "/>
        <s v="Stefanie Glines  "/>
        <s v="Eloy Sisto  "/>
        <s v="Tabitha Mitcham  "/>
        <s v="Un Deyoung  "/>
        <s v="Karma Kee  "/>
        <s v="Shandra Ceja  "/>
        <s v="Yun Dunstan  "/>
        <s v="Tatum Dymond  "/>
        <s v="Mattie Renshaw  "/>
        <s v="Deadra Clara  "/>
        <s v="Corrine Jared  "/>
        <s v="Bryce Madigan  "/>
        <s v="Cherrie Tharpe  "/>
        <s v="Brunilda Swenson  "/>
        <s v="Armandina Super  "/>
        <s v="Bula Mcclaren  "/>
        <s v="Felicita Ko  "/>
        <s v="Rachal Lollar  "/>
        <s v="Gay Haddox  "/>
        <s v="Iluminada Lape  "/>
        <s v="Erlene Lowder  "/>
        <s v="Jimmie Goulart  "/>
        <s v="Roosevelt Dejesus  "/>
        <s v="Christal Barriere  "/>
        <s v="Marylin Dynes  "/>
        <s v="Leona Summer  "/>
        <s v="Margo Near  "/>
        <s v="Raisa Boydstun  "/>
        <s v="Lorrine Hargraves  "/>
        <s v="Vicenta Sedlak  "/>
        <s v="Merri Killian  "/>
        <s v="Lillia Ruybal  "/>
        <s v="Lakenya Resendez  "/>
        <s v="Yevette Decaro  "/>
        <s v="Santina Haupt  "/>
        <s v="Sung Proehl  "/>
        <s v="Randall Strassburg  "/>
        <s v="Jaleesa Lattimer  "/>
        <s v="Sonny Rubenstein  "/>
        <s v="Chelsea Viens  "/>
        <s v="Pamelia Hartford  "/>
        <s v="Enrique Quiles  "/>
        <s v="Lara Lundell  "/>
        <s v="Shawnna Dieguez  "/>
        <s v="Lorene Twiggs  "/>
        <s v="Faith Albino  "/>
        <s v="Elenor Romriell  "/>
        <s v="Joslyn Forgione  "/>
        <s v="Rachel Samford  "/>
        <s v="Johnette Reidhead  "/>
        <s v="Rico Siddiqi  "/>
        <s v="Sunni Clemmons  "/>
        <s v="Christine Modisette  "/>
        <s v="Gilberte Policastro  "/>
        <s v="Pauletta Hollinger  "/>
        <s v="Eden Zullo  "/>
        <s v="Amanda Mantilla  "/>
        <s v="Romelia Erving  "/>
        <s v="Marielle Lamarr  "/>
        <s v="Theodora Mangus  "/>
        <s v="Arlyne Moya  "/>
        <s v="Jerald Sites  "/>
        <s v="Ronni Learn  "/>
        <s v="Marcela Hoback  "/>
        <s v="Allena Tulley  "/>
      </sharedItems>
    </cacheField>
    <cacheField name="Area" numFmtId="0">
      <sharedItems count="11">
        <s v="Videojuegos"/>
        <s v="Libros"/>
        <s v="Ropa"/>
        <s v="Herramientas"/>
        <s v="Hogar y Cocina"/>
        <s v="Mascotas y Accesorios"/>
        <s v="Deportes y Aire Libre"/>
        <s v="Electrónicos"/>
        <s v="Bebe"/>
        <s v="Salud y Belleza"/>
        <s v="Películas"/>
      </sharedItems>
    </cacheField>
    <cacheField name="Almacén" numFmtId="0">
      <sharedItems count="13">
        <s v="Puebla de Zaragoza"/>
        <s v="Monterrey"/>
        <s v="Ciudad de México"/>
        <s v="Guadalajara"/>
        <s v="Mérida"/>
        <s v="Naucalpan de Juárez"/>
        <s v="Chihuahua"/>
        <s v="Zapopan"/>
        <s v="Nezahualcóyotl"/>
        <s v="León"/>
        <s v="Ciudad Juárez"/>
        <s v="Ecatepec"/>
        <s v="Tijuana"/>
      </sharedItems>
    </cacheField>
    <cacheField name="Puesto" numFmtId="0">
      <sharedItems count="7">
        <s v="Almacenista Nocturno"/>
        <s v="Empacador"/>
        <s v="Almacenista General"/>
        <s v="Coordinardor de Recepción"/>
        <s v="Operador Montacargas"/>
        <s v="Chofer"/>
        <s v="Manejo de Paquetes"/>
      </sharedItems>
    </cacheField>
    <cacheField name="Fecha de Contratación" numFmtId="14">
      <sharedItems containsSemiMixedTypes="0" containsNonDate="0" containsDate="1" containsString="0" minDate="2017-01-02T00:00:00" maxDate="2017-07-01T00:00:00" count="180">
        <d v="2017-01-23T00:00:00"/>
        <d v="2017-01-19T00:00:00"/>
        <d v="2017-01-27T00:00:00"/>
        <d v="2017-02-11T00:00:00"/>
        <d v="2017-03-01T00:00:00"/>
        <d v="2017-02-25T00:00:00"/>
        <d v="2017-03-24T00:00:00"/>
        <d v="2017-02-15T00:00:00"/>
        <d v="2017-02-14T00:00:00"/>
        <d v="2017-03-31T00:00:00"/>
        <d v="2017-03-26T00:00:00"/>
        <d v="2017-02-20T00:00:00"/>
        <d v="2017-01-26T00:00:00"/>
        <d v="2017-02-28T00:00:00"/>
        <d v="2017-02-04T00:00:00"/>
        <d v="2017-03-08T00:00:00"/>
        <d v="2017-01-15T00:00:00"/>
        <d v="2017-01-24T00:00:00"/>
        <d v="2017-03-19T00:00:00"/>
        <d v="2017-03-04T00:00:00"/>
        <d v="2017-03-23T00:00:00"/>
        <d v="2017-01-12T00:00:00"/>
        <d v="2017-01-28T00:00:00"/>
        <d v="2017-03-16T00:00:00"/>
        <d v="2017-01-07T00:00:00"/>
        <d v="2017-03-13T00:00:00"/>
        <d v="2017-03-25T00:00:00"/>
        <d v="2017-02-05T00:00:00"/>
        <d v="2017-01-25T00:00:00"/>
        <d v="2017-03-11T00:00:00"/>
        <d v="2017-03-15T00:00:00"/>
        <d v="2017-03-02T00:00:00"/>
        <d v="2017-01-10T00:00:00"/>
        <d v="2017-03-30T00:00:00"/>
        <d v="2017-01-02T00:00:00"/>
        <d v="2017-02-10T00:00:00"/>
        <d v="2017-03-06T00:00:00"/>
        <d v="2017-02-17T00:00:00"/>
        <d v="2017-01-05T00:00:00"/>
        <d v="2017-03-21T00:00:00"/>
        <d v="2017-01-09T00:00:00"/>
        <d v="2017-01-04T00:00:00"/>
        <d v="2017-03-27T00:00:00"/>
        <d v="2017-01-29T00:00:00"/>
        <d v="2017-01-20T00:00:00"/>
        <d v="2017-01-16T00:00:00"/>
        <d v="2017-03-17T00:00:00"/>
        <d v="2017-02-01T00:00:00"/>
        <d v="2017-03-10T00:00:00"/>
        <d v="2017-01-06T00:00:00"/>
        <d v="2017-01-31T00:00:00"/>
        <d v="2017-03-09T00:00:00"/>
        <d v="2017-01-08T00:00:00"/>
        <d v="2017-01-30T00:00:00"/>
        <d v="2017-03-22T00:00:00"/>
        <d v="2017-02-03T00:00:00"/>
        <d v="2017-03-28T00:00:00"/>
        <d v="2017-02-19T00:00:00"/>
        <d v="2017-02-26T00:00:00"/>
        <d v="2017-01-22T00:00:00"/>
        <d v="2017-02-23T00:00:00"/>
        <d v="2017-01-13T00:00:00"/>
        <d v="2017-02-27T00:00:00"/>
        <d v="2017-02-21T00:00:00"/>
        <d v="2017-02-07T00:00:00"/>
        <d v="2017-02-24T00:00:00"/>
        <d v="2017-03-03T00:00:00"/>
        <d v="2017-02-06T00:00:00"/>
        <d v="2017-01-17T00:00:00"/>
        <d v="2017-01-11T00:00:00"/>
        <d v="2017-03-12T00:00:00"/>
        <d v="2017-01-03T00:00:00"/>
        <d v="2017-02-13T00:00:00"/>
        <d v="2017-02-12T00:00:00"/>
        <d v="2017-02-18T00:00:00"/>
        <d v="2017-03-05T00:00:00"/>
        <d v="2017-02-22T00:00:00"/>
        <d v="2017-02-02T00:00:00"/>
        <d v="2017-03-20T00:00:00"/>
        <d v="2017-01-18T00:00:00"/>
        <d v="2017-02-09T00:00:00"/>
        <d v="2017-02-16T00:00:00"/>
        <d v="2017-03-29T00:00:00"/>
        <d v="2017-02-08T00:00:00"/>
        <d v="2017-03-14T00:00:00"/>
        <d v="2017-01-21T00:00:00"/>
        <d v="2017-03-07T00:00:00"/>
        <d v="2017-03-18T00:00:00"/>
        <d v="2017-01-14T00:00:00"/>
        <d v="2017-04-03T00:00:00"/>
        <d v="2017-05-26T00:00:00"/>
        <d v="2017-04-09T00:00:00"/>
        <d v="2017-05-18T00:00:00"/>
        <d v="2017-05-10T00:00:00"/>
        <d v="2017-05-12T00:00:00"/>
        <d v="2017-04-26T00:00:00"/>
        <d v="2017-04-30T00:00:00"/>
        <d v="2017-04-19T00:00:00"/>
        <d v="2017-04-29T00:00:00"/>
        <d v="2017-05-25T00:00:00"/>
        <d v="2017-04-02T00:00:00"/>
        <d v="2017-04-06T00:00:00"/>
        <d v="2017-05-20T00:00:00"/>
        <d v="2017-04-14T00:00:00"/>
        <d v="2017-04-28T00:00:00"/>
        <d v="2017-04-11T00:00:00"/>
        <d v="2017-05-23T00:00:00"/>
        <d v="2017-05-11T00:00:00"/>
        <d v="2017-04-04T00:00:00"/>
        <d v="2017-04-23T00:00:00"/>
        <d v="2017-04-27T00:00:00"/>
        <d v="2017-04-05T00:00:00"/>
        <d v="2017-05-30T00:00:00"/>
        <d v="2017-04-12T00:00:00"/>
        <d v="2017-04-16T00:00:00"/>
        <d v="2017-05-24T00:00:00"/>
        <d v="2017-05-21T00:00:00"/>
        <d v="2017-05-27T00:00:00"/>
        <d v="2017-04-08T00:00:00"/>
        <d v="2017-04-22T00:00:00"/>
        <d v="2017-04-21T00:00:00"/>
        <d v="2017-05-02T00:00:00"/>
        <d v="2017-04-17T00:00:00"/>
        <d v="2017-04-13T00:00:00"/>
        <d v="2017-04-07T00:00:00"/>
        <d v="2017-04-01T00:00:00"/>
        <d v="2017-05-03T00:00:00"/>
        <d v="2017-04-25T00:00:00"/>
        <d v="2017-04-20T00:00:00"/>
        <d v="2017-05-08T00:00:00"/>
        <d v="2017-05-06T00:00:00"/>
        <d v="2017-05-22T00:00:00"/>
        <d v="2017-05-13T00:00:00"/>
        <d v="2017-05-05T00:00:00"/>
        <d v="2017-04-18T00:00:00"/>
        <d v="2017-05-04T00:00:00"/>
        <d v="2017-04-24T00:00:00"/>
        <d v="2017-04-10T00:00:00"/>
        <d v="2017-05-01T00:00:00"/>
        <d v="2017-05-09T00:00:00"/>
        <d v="2017-05-17T00:00:00"/>
        <d v="2017-05-16T00:00:00"/>
        <d v="2017-05-15T00:00:00"/>
        <d v="2017-05-31T00:00:00"/>
        <d v="2017-05-14T00:00:00"/>
        <d v="2017-05-19T00:00:00"/>
        <d v="2017-04-15T00:00:00"/>
        <d v="2017-05-28T00:00:00"/>
        <d v="2017-05-07T00:00:00"/>
        <d v="2017-05-29T00:00:00"/>
        <d v="2017-06-20T00:00:00"/>
        <d v="2017-06-01T00:00:00"/>
        <d v="2017-06-29T00:00:00"/>
        <d v="2017-06-15T00:00:00"/>
        <d v="2017-06-22T00:00:00"/>
        <d v="2017-06-18T00:00:00"/>
        <d v="2017-06-21T00:00:00"/>
        <d v="2017-06-11T00:00:00"/>
        <d v="2017-06-23T00:00:00"/>
        <d v="2017-06-26T00:00:00"/>
        <d v="2017-06-07T00:00:00"/>
        <d v="2017-06-08T00:00:00"/>
        <d v="2017-06-27T00:00:00"/>
        <d v="2017-06-16T00:00:00"/>
        <d v="2017-06-24T00:00:00"/>
        <d v="2017-06-14T00:00:00"/>
        <d v="2017-06-30T00:00:00"/>
        <d v="2017-06-05T00:00:00"/>
        <d v="2017-06-19T00:00:00"/>
        <d v="2017-06-09T00:00:00"/>
        <d v="2017-06-28T00:00:00"/>
        <d v="2017-06-12T00:00:00"/>
        <d v="2017-06-06T00:00:00"/>
        <d v="2017-06-17T00:00:00"/>
        <d v="2017-06-10T00:00:00"/>
        <d v="2017-06-13T00:00:00"/>
        <d v="2017-06-02T00:00:00"/>
        <d v="2017-06-04T00:00:00"/>
        <d v="2017-06-03T00:00:00"/>
        <d v="2017-06-25T00:00:00"/>
      </sharedItems>
      <fieldGroup par="9"/>
    </cacheField>
    <cacheField name="Fecha de Ubicación" numFmtId="14">
      <sharedItems containsDate="1" containsMixedTypes="1" minDate="2017-01-07T00:00:00" maxDate="2017-09-25T00:00:00" count="182">
        <d v="2017-01-27T00:00:00"/>
        <d v="2017-01-30T00:00:00"/>
        <d v="2017-02-04T00:00:00"/>
        <d v="2017-02-21T00:00:00"/>
        <d v="2017-03-13T00:00:00"/>
        <d v="2017-03-01T00:00:00"/>
        <s v="Baja"/>
        <d v="2017-02-17T00:00:00"/>
        <d v="2017-02-19T00:00:00"/>
        <d v="2017-04-09T00:00:00"/>
        <d v="2017-04-02T00:00:00"/>
        <d v="2017-02-25T00:00:00"/>
        <d v="2017-01-31T00:00:00"/>
        <d v="2017-02-12T00:00:00"/>
        <d v="2017-03-17T00:00:00"/>
        <s v="No entró"/>
        <d v="2017-02-20T00:00:00"/>
        <d v="2017-01-28T00:00:00"/>
        <d v="2017-03-15T00:00:00"/>
        <d v="2017-03-30T00:00:00"/>
        <d v="2017-02-03T00:00:00"/>
        <d v="2017-03-29T00:00:00"/>
        <d v="2017-01-13T00:00:00"/>
        <d v="2017-04-07T00:00:00"/>
        <d v="2017-02-11T00:00:00"/>
        <d v="2017-02-07T00:00:00"/>
        <d v="2017-02-23T00:00:00"/>
        <d v="2017-02-22T00:00:00"/>
        <d v="2017-03-20T00:00:00"/>
        <d v="2017-03-06T00:00:00"/>
        <d v="2017-04-03T00:00:00"/>
        <d v="2017-01-14T00:00:00"/>
        <d v="2017-03-10T00:00:00"/>
        <d v="2017-04-01T00:00:00"/>
        <d v="2017-01-11T00:00:00"/>
        <d v="2017-03-14T00:00:00"/>
        <d v="2017-01-20T00:00:00"/>
        <d v="2017-01-19T00:00:00"/>
        <d v="2017-02-09T00:00:00"/>
        <d v="2017-01-12T00:00:00"/>
        <d v="2017-04-04T00:00:00"/>
        <d v="2017-02-02T00:00:00"/>
        <d v="2017-01-22T00:00:00"/>
        <d v="2017-03-08T00:00:00"/>
        <d v="2017-01-09T00:00:00"/>
        <d v="2017-02-06T00:00:00"/>
        <d v="2017-03-16T00:00:00"/>
        <d v="2017-01-17T00:00:00"/>
        <d v="2017-03-12T00:00:00"/>
        <d v="2017-01-16T00:00:00"/>
        <d v="2017-02-10T00:00:00"/>
        <d v="2017-03-11T00:00:00"/>
        <d v="2017-02-15T00:00:00"/>
        <d v="2017-02-08T00:00:00"/>
        <d v="2017-04-05T00:00:00"/>
        <d v="2017-01-26T00:00:00"/>
        <d v="2017-06-02T00:00:00"/>
        <d v="2017-03-04T00:00:00"/>
        <d v="2017-01-23T00:00:00"/>
        <d v="2017-04-08T00:00:00"/>
        <d v="2017-02-14T00:00:00"/>
        <d v="2017-01-21T00:00:00"/>
        <d v="2017-03-19T00:00:00"/>
        <d v="2017-03-18T00:00:00"/>
        <d v="2017-03-05T00:00:00"/>
        <d v="2017-02-24T00:00:00"/>
        <d v="2017-02-13T00:00:00"/>
        <d v="2017-02-16T00:00:00"/>
        <d v="2017-03-22T00:00:00"/>
        <d v="2017-03-21T00:00:00"/>
        <d v="2017-02-18T00:00:00"/>
        <d v="2017-03-03T00:00:00"/>
        <d v="2017-03-28T00:00:00"/>
        <d v="2017-03-23T00:00:00"/>
        <d v="2017-03-07T00:00:00"/>
        <d v="2017-01-10T00:00:00"/>
        <d v="2017-04-06T00:00:00"/>
        <d v="2017-01-18T00:00:00"/>
        <d v="2017-03-09T00:00:00"/>
        <d v="2017-02-05T00:00:00"/>
        <d v="2017-01-08T00:00:00"/>
        <d v="2017-03-24T00:00:00"/>
        <d v="2017-02-27T00:00:00"/>
        <d v="2017-03-02T00:00:00"/>
        <d v="2017-01-15T00:00:00"/>
        <d v="2017-03-25T00:00:00"/>
        <d v="2017-04-10T00:00:00"/>
        <d v="2017-05-05T00:00:00"/>
        <d v="2017-04-26T00:00:00"/>
        <d v="2017-05-27T00:00:00"/>
        <d v="2017-05-09T00:00:00"/>
        <d v="2017-02-01T00:00:00"/>
        <d v="2017-03-31T00:00:00"/>
        <d v="2017-01-07T00:00:00"/>
        <d v="2017-01-24T00:00:00"/>
        <d v="2017-07-04T00:00:00"/>
        <d v="2017-04-11T00:00:00"/>
        <d v="2017-03-26T00:00:00"/>
        <d v="2017-04-16T00:00:00"/>
        <d v="2017-02-28T00:00:00"/>
        <d v="2017-04-12T00:00:00"/>
        <d v="2017-05-31T00:00:00"/>
        <d v="2017-05-22T00:00:00"/>
        <d v="2017-05-14T00:00:00"/>
        <d v="2017-05-18T00:00:00"/>
        <d v="2017-05-03T00:00:00"/>
        <d v="2017-05-02T00:00:00"/>
        <d v="2017-04-17T00:00:00"/>
        <d v="2017-09-02T00:00:00"/>
        <d v="2017-05-26T00:00:00"/>
        <d v="2017-04-21T00:00:00"/>
        <d v="2017-04-15T00:00:00"/>
        <d v="2017-08-09T00:00:00"/>
        <d v="2017-04-22T00:00:00"/>
        <d v="2017-04-13T00:00:00"/>
        <d v="2017-06-05T00:00:00"/>
        <d v="2017-05-30T00:00:00"/>
        <d v="2017-04-20T00:00:00"/>
        <d v="2017-05-06T00:00:00"/>
        <d v="2017-05-17T00:00:00"/>
        <d v="2017-04-25T00:00:00"/>
        <d v="2017-05-04T00:00:00"/>
        <d v="2017-04-18T00:00:00"/>
        <d v="2017-05-10T00:00:00"/>
        <d v="2017-05-16T00:00:00"/>
        <d v="2017-05-11T00:00:00"/>
        <d v="2017-04-23T00:00:00"/>
        <d v="2017-05-13T00:00:00"/>
        <d v="2017-06-03T00:00:00"/>
        <d v="2017-04-19T00:00:00"/>
        <d v="2017-05-07T00:00:00"/>
        <d v="2017-04-24T00:00:00"/>
        <d v="2017-04-28T00:00:00"/>
        <d v="2017-05-08T00:00:00"/>
        <d v="2017-05-24T00:00:00"/>
        <d v="2017-04-27T00:00:00"/>
        <d v="2017-05-28T00:00:00"/>
        <d v="2017-04-30T00:00:00"/>
        <d v="2017-08-20T00:00:00"/>
        <d v="2017-05-25T00:00:00"/>
        <d v="2017-06-01T00:00:00"/>
        <d v="2017-04-14T00:00:00"/>
        <d v="2017-05-23T00:00:00"/>
        <d v="2017-07-20T00:00:00"/>
        <d v="2017-08-11T00:00:00"/>
        <d v="2017-06-08T00:00:00"/>
        <d v="2017-05-01T00:00:00"/>
        <d v="2017-05-15T00:00:00"/>
        <d v="2017-05-20T00:00:00"/>
        <d v="2017-06-07T00:00:00"/>
        <d v="2017-04-29T00:00:00"/>
        <d v="2017-07-07T00:00:00"/>
        <d v="2017-06-25T00:00:00"/>
        <d v="2017-07-01T00:00:00"/>
        <d v="2017-06-19T00:00:00"/>
        <d v="2017-07-05T00:00:00"/>
        <d v="2017-06-21T00:00:00"/>
        <d v="2017-06-29T00:00:00"/>
        <d v="2017-06-26T00:00:00"/>
        <d v="2017-06-10T00:00:00"/>
        <d v="2017-06-28T00:00:00"/>
        <d v="2017-06-30T00:00:00"/>
        <d v="2017-06-20T00:00:00"/>
        <d v="2017-06-16T00:00:00"/>
        <d v="2017-06-13T00:00:00"/>
        <d v="2017-06-09T00:00:00"/>
        <d v="2017-06-27T00:00:00"/>
        <d v="2017-07-03T00:00:00"/>
        <d v="2017-09-20T00:00:00"/>
        <d v="2017-06-23T00:00:00"/>
        <d v="2017-06-22T00:00:00"/>
        <d v="2017-06-12T00:00:00"/>
        <d v="2017-06-14T00:00:00"/>
        <d v="2017-06-18T00:00:00"/>
        <d v="2017-06-17T00:00:00"/>
        <d v="2017-07-08T00:00:00"/>
        <d v="2017-07-02T00:00:00"/>
        <d v="2017-09-10T00:00:00"/>
        <d v="2017-07-06T00:00:00"/>
        <d v="2017-06-24T00:00:00"/>
        <d v="2017-09-24T00:00:00"/>
        <d v="2017-06-15T00:00:00"/>
      </sharedItems>
    </cacheField>
    <cacheField name="Fecha de Liberación" numFmtId="14">
      <sharedItems containsDate="1" containsMixedTypes="1" minDate="2017-01-11T00:00:00" maxDate="2017-08-20T00:00:00" count="190">
        <d v="2017-01-29T00:00:00"/>
        <d v="2017-02-25T00:00:00"/>
        <s v="Baja"/>
        <d v="2017-03-21T00:00:00"/>
        <d v="2017-04-07T00:00:00"/>
        <d v="2017-03-14T00:00:00"/>
        <d v="2017-02-19T00:00:00"/>
        <d v="2017-03-02T00:00:00"/>
        <d v="2017-04-13T00:00:00"/>
        <d v="2017-04-15T00:00:00"/>
        <d v="2017-03-08T00:00:00"/>
        <d v="2017-02-04T00:00:00"/>
        <d v="2017-02-15T00:00:00"/>
        <d v="2017-02-16T00:00:00"/>
        <d v="2017-03-28T00:00:00"/>
        <d v="2017-03-06T00:00:00"/>
        <d v="2017-02-02T00:00:00"/>
        <d v="2017-03-27T00:00:00"/>
        <d v="2017-02-10T00:00:00"/>
        <d v="2017-04-26T00:00:00"/>
        <d v="2017-01-20T00:00:00"/>
        <d v="2017-05-03T00:00:00"/>
        <d v="2017-02-20T00:00:00"/>
        <d v="2017-03-07T00:00:00"/>
        <d v="2017-02-26T00:00:00"/>
        <d v="2017-03-30T00:00:00"/>
        <d v="2017-03-13T00:00:00"/>
        <d v="2017-04-11T00:00:00"/>
        <d v="2017-03-01T00:00:00"/>
        <d v="2017-01-22T00:00:00"/>
        <d v="2017-03-16T00:00:00"/>
        <d v="2017-04-08T00:00:00"/>
        <d v="2017-01-24T00:00:00"/>
        <d v="2017-04-01T00:00:00"/>
        <d v="2017-04-14T00:00:00"/>
        <d v="2017-04-05T00:00:00"/>
        <d v="2017-02-22T00:00:00"/>
        <d v="2017-04-02T00:00:00"/>
        <d v="2017-01-27T00:00:00"/>
        <d v="2017-04-06T00:00:00"/>
        <d v="2017-02-14T00:00:00"/>
        <d v="2017-01-15T00:00:00"/>
        <d v="2017-01-31T00:00:00"/>
        <d v="2017-03-23T00:00:00"/>
        <d v="2017-04-24T00:00:00"/>
        <d v="2017-01-21T00:00:00"/>
        <d v="2017-07-02T00:00:00"/>
        <d v="2017-01-13T00:00:00"/>
        <d v="2017-02-21T00:00:00"/>
        <d v="2017-03-22T00:00:00"/>
        <d v="2017-01-25T00:00:00"/>
        <d v="2017-03-24T00:00:00"/>
        <d v="2017-01-26T00:00:00"/>
        <d v="2017-03-10T00:00:00"/>
        <d v="2017-04-19T00:00:00"/>
        <d v="2017-03-11T00:00:00"/>
        <d v="2017-04-12T00:00:00"/>
        <d v="2017-02-08T00:00:00"/>
        <d v="2017-03-25T00:00:00"/>
        <d v="2017-03-15T00:00:00"/>
        <d v="2017-02-07T00:00:00"/>
        <d v="2017-03-12T00:00:00"/>
        <d v="2017-04-20T00:00:00"/>
        <d v="2017-03-17T00:00:00"/>
        <d v="2017-03-18T00:00:00"/>
        <d v="2017-02-13T00:00:00"/>
        <d v="2017-01-18T00:00:00"/>
        <d v="2017-02-23T00:00:00"/>
        <d v="2017-04-17T00:00:00"/>
        <d v="2017-03-19T00:00:00"/>
        <d v="2017-02-06T00:00:00"/>
        <d v="2017-03-03T00:00:00"/>
        <d v="2017-03-05T00:00:00"/>
        <d v="2017-02-18T00:00:00"/>
        <d v="2017-03-26T00:00:00"/>
        <d v="2017-03-31T00:00:00"/>
        <d v="2017-02-24T00:00:00"/>
        <d v="2017-03-04T00:00:00"/>
        <d v="2017-05-11T00:00:00"/>
        <d v="2017-04-16T00:00:00"/>
        <d v="2017-03-09T00:00:00"/>
        <d v="2017-02-03T00:00:00"/>
        <d v="2017-01-11T00:00:00"/>
        <d v="2017-04-04T00:00:00"/>
        <d v="2017-01-19T00:00:00"/>
        <d v="2017-05-08T00:00:00"/>
        <d v="2017-05-01T00:00:00"/>
        <d v="2017-02-01T00:00:00"/>
        <d v="2017-04-10T00:00:00"/>
        <d v="2017-02-17T00:00:00"/>
        <d v="2017-01-28T00:00:00"/>
        <d v="2017-01-30T00:00:00"/>
        <d v="2017-04-03T00:00:00"/>
        <d v="2017-02-28T00:00:00"/>
        <d v="2017-02-05T00:00:00"/>
        <d v="2017-04-23T00:00:00"/>
        <d v="2017-01-14T00:00:00"/>
        <d v="2017-04-29T00:00:00"/>
        <d v="2017-02-27T00:00:00"/>
        <d v="2017-02-12T00:00:00"/>
        <d v="2017-04-25T00:00:00"/>
        <d v="2017-01-12T00:00:00"/>
        <d v="2017-03-20T00:00:00"/>
        <d v="2017-04-09T00:00:00"/>
        <d v="2017-04-21T00:00:00"/>
        <d v="2017-06-24T00:00:00"/>
        <d v="2017-05-28T00:00:00"/>
        <d v="2017-05-21T00:00:00"/>
        <d v="2017-05-22T00:00:00"/>
        <d v="2017-05-06T00:00:00"/>
        <d v="2017-05-18T00:00:00"/>
        <d v="2017-05-09T00:00:00"/>
        <d v="2017-06-09T00:00:00"/>
        <d v="2017-06-04T00:00:00"/>
        <d v="2017-05-05T00:00:00"/>
        <d v="2017-06-17T00:00:00"/>
        <d v="2017-06-14T00:00:00"/>
        <d v="2017-06-03T00:00:00"/>
        <d v="2017-05-15T00:00:00"/>
        <d v="2017-05-31T00:00:00"/>
        <d v="2017-05-20T00:00:00"/>
        <d v="2017-06-13T00:00:00"/>
        <d v="2017-06-01T00:00:00"/>
        <d v="2017-06-23T00:00:00"/>
        <d v="2017-04-27T00:00:00"/>
        <d v="2017-05-27T00:00:00"/>
        <d v="2017-05-13T00:00:00"/>
        <d v="2017-05-19T00:00:00"/>
        <d v="2017-05-26T00:00:00"/>
        <d v="2017-05-30T00:00:00"/>
        <d v="2017-04-30T00:00:00"/>
        <d v="2017-05-14T00:00:00"/>
        <d v="2017-06-15T00:00:00"/>
        <d v="2017-05-02T00:00:00"/>
        <d v="2017-05-12T00:00:00"/>
        <d v="2017-05-25T00:00:00"/>
        <d v="2017-06-10T00:00:00"/>
        <d v="2017-04-28T00:00:00"/>
        <d v="2017-06-05T00:00:00"/>
        <d v="2017-08-19T00:00:00"/>
        <d v="2017-04-22T00:00:00"/>
        <d v="2017-05-17T00:00:00"/>
        <d v="2017-05-23T00:00:00"/>
        <d v="2017-05-16T00:00:00"/>
        <d v="2017-05-10T00:00:00"/>
        <d v="2017-05-04T00:00:00"/>
        <d v="2017-05-29T00:00:00"/>
        <d v="2017-06-07T00:00:00"/>
        <d v="2017-06-12T00:00:00"/>
        <d v="2017-06-21T00:00:00"/>
        <d v="2017-06-06T00:00:00"/>
        <d v="2017-06-11T00:00:00"/>
        <d v="2017-05-24T00:00:00"/>
        <d v="2017-05-07T00:00:00"/>
        <d v="2017-06-22T00:00:00"/>
        <d v="2017-06-02T00:00:00"/>
        <d v="2017-07-01T00:00:00"/>
        <d v="2017-07-25T00:00:00"/>
        <d v="2017-07-12T00:00:00"/>
        <d v="2017-06-27T00:00:00"/>
        <d v="2017-07-11T00:00:00"/>
        <d v="2017-07-19T00:00:00"/>
        <d v="2017-07-16T00:00:00"/>
        <d v="2017-07-05T00:00:00"/>
        <d v="2017-07-09T00:00:00"/>
        <d v="2017-07-21T00:00:00"/>
        <d v="2017-07-04T00:00:00"/>
        <d v="2017-06-30T00:00:00"/>
        <d v="2017-07-08T00:00:00"/>
        <d v="2017-06-25T00:00:00"/>
        <d v="2017-07-06T00:00:00"/>
        <d v="2017-07-28T00:00:00"/>
        <d v="2017-06-28T00:00:00"/>
        <d v="2017-07-03T00:00:00"/>
        <d v="2017-06-26T00:00:00"/>
        <d v="2017-06-29T00:00:00"/>
        <d v="2017-07-14T00:00:00"/>
        <d v="2017-07-10T00:00:00"/>
        <d v="2017-07-15T00:00:00"/>
        <d v="2017-07-30T00:00:00"/>
        <d v="2017-06-20T00:00:00"/>
        <d v="2017-07-18T00:00:00"/>
        <d v="2017-07-26T00:00:00"/>
        <d v="2017-07-24T00:00:00"/>
        <d v="2017-07-07T00:00:00"/>
        <d v="2017-07-17T00:00:00"/>
        <d v="2017-06-19T00:00:00"/>
        <d v="2017-08-02T00:00:00"/>
        <d v="2017-08-03T00:00:00"/>
        <d v="2017-06-16T00:00:00"/>
      </sharedItems>
    </cacheField>
    <cacheField name="Fecha de baja" numFmtId="14">
      <sharedItems containsNonDate="0" containsDate="1" containsString="0" containsBlank="1" minDate="2017-01-08T00:00:00" maxDate="2017-11-27T00:00:00" count="139">
        <m/>
        <d v="2017-01-29T00:00:00"/>
        <d v="2017-04-08T00:00:00"/>
        <d v="2017-06-09T00:00:00"/>
        <d v="2017-09-22T00:00:00"/>
        <d v="2017-05-16T00:00:00"/>
        <d v="2017-06-11T00:00:00"/>
        <d v="2017-07-16T00:00:00"/>
        <d v="2017-01-31T00:00:00"/>
        <d v="2017-07-08T00:00:00"/>
        <d v="2017-04-19T00:00:00"/>
        <d v="2017-10-01T00:00:00"/>
        <d v="2017-02-27T00:00:00"/>
        <d v="2017-04-13T00:00:00"/>
        <d v="2017-04-30T00:00:00"/>
        <d v="2017-08-19T00:00:00"/>
        <d v="2017-07-27T00:00:00"/>
        <d v="2017-05-23T00:00:00"/>
        <d v="2017-04-20T00:00:00"/>
        <d v="2017-04-24T00:00:00"/>
        <d v="2017-10-08T00:00:00"/>
        <d v="2017-07-06T00:00:00"/>
        <d v="2017-03-04T00:00:00"/>
        <d v="2017-02-20T00:00:00"/>
        <d v="2017-02-05T00:00:00"/>
        <d v="2017-01-22T00:00:00"/>
        <d v="2017-06-07T00:00:00"/>
        <d v="2017-05-11T00:00:00"/>
        <d v="2017-06-12T00:00:00"/>
        <d v="2017-09-23T00:00:00"/>
        <d v="2017-03-03T00:00:00"/>
        <d v="2017-10-04T00:00:00"/>
        <d v="2017-07-23T00:00:00"/>
        <d v="2017-02-12T00:00:00"/>
        <d v="2017-01-24T00:00:00"/>
        <d v="2017-03-25T00:00:00"/>
        <d v="2017-10-07T00:00:00"/>
        <d v="2017-09-27T00:00:00"/>
        <d v="2017-09-15T00:00:00"/>
        <d v="2017-04-09T00:00:00"/>
        <d v="2017-06-03T00:00:00"/>
        <d v="2017-02-03T00:00:00"/>
        <d v="2017-03-31T00:00:00"/>
        <d v="2017-07-12T00:00:00"/>
        <d v="2017-03-01T00:00:00"/>
        <d v="2017-01-08T00:00:00"/>
        <d v="2017-05-08T00:00:00"/>
        <d v="2017-04-22T00:00:00"/>
        <d v="2017-04-11T00:00:00"/>
        <d v="2017-05-17T00:00:00"/>
        <d v="2017-07-09T00:00:00"/>
        <d v="2017-03-27T00:00:00"/>
        <d v="2017-04-28T00:00:00"/>
        <d v="2017-05-10T00:00:00"/>
        <d v="2017-02-18T00:00:00"/>
        <d v="2017-09-21T00:00:00"/>
        <d v="2017-07-29T00:00:00"/>
        <d v="2017-10-05T00:00:00"/>
        <d v="2017-02-22T00:00:00"/>
        <d v="2017-09-24T00:00:00"/>
        <d v="2017-09-28T00:00:00"/>
        <d v="2017-05-24T00:00:00"/>
        <d v="2017-03-24T00:00:00"/>
        <d v="2017-03-18T00:00:00"/>
        <d v="2017-10-06T00:00:00"/>
        <d v="2017-04-06T00:00:00"/>
        <d v="2017-03-17T00:00:00"/>
        <d v="2017-10-03T00:00:00"/>
        <d v="2017-06-27T00:00:00"/>
        <d v="2017-04-02T00:00:00"/>
        <d v="2017-05-26T00:00:00"/>
        <d v="2017-05-13T00:00:00"/>
        <d v="2017-05-01T00:00:00"/>
        <d v="2017-04-16T00:00:00"/>
        <d v="2017-08-05T00:00:00"/>
        <d v="2017-05-31T00:00:00"/>
        <d v="2017-06-08T00:00:00"/>
        <d v="2017-07-22T00:00:00"/>
        <d v="2017-07-03T00:00:00"/>
        <d v="2017-07-07T00:00:00"/>
        <d v="2017-09-09T00:00:00"/>
        <d v="2017-07-30T00:00:00"/>
        <d v="2017-09-25T00:00:00"/>
        <d v="2017-03-08T00:00:00"/>
        <d v="2017-09-20T00:00:00"/>
        <d v="2017-08-30T00:00:00"/>
        <d v="2017-08-27T00:00:00"/>
        <d v="2017-06-28T00:00:00"/>
        <d v="2017-09-10T00:00:00"/>
        <d v="2017-06-05T00:00:00"/>
        <d v="2017-05-04T00:00:00"/>
        <d v="2017-09-30T00:00:00"/>
        <d v="2017-05-22T00:00:00"/>
        <d v="2017-07-02T00:00:00"/>
        <d v="2017-09-05T00:00:00"/>
        <d v="2017-05-27T00:00:00"/>
        <d v="2017-10-02T00:00:00"/>
        <d v="2017-05-07T00:00:00"/>
        <d v="2017-08-06T00:00:00"/>
        <d v="2017-08-09T00:00:00"/>
        <d v="2017-07-28T00:00:00"/>
        <d v="2017-07-19T00:00:00"/>
        <d v="2017-06-02T00:00:00"/>
        <d v="2017-05-12T00:00:00"/>
        <d v="2017-07-25T00:00:00"/>
        <d v="2017-09-11T00:00:00"/>
        <d v="2017-08-02T00:00:00"/>
        <d v="2017-09-08T00:00:00"/>
        <d v="2017-09-18T00:00:00"/>
        <d v="2017-05-20T00:00:00"/>
        <d v="2017-03-07T00:00:00"/>
        <d v="2017-06-26T00:00:00"/>
        <d v="2017-05-02T00:00:00"/>
        <d v="2017-08-24T00:00:00"/>
        <d v="2017-08-12T00:00:00"/>
        <d v="2017-09-03T00:00:00"/>
        <d v="2017-09-13T00:00:00"/>
        <d v="2017-03-11T00:00:00"/>
        <d v="2017-08-16T00:00:00"/>
        <d v="2017-09-16T00:00:00"/>
        <d v="2017-07-10T00:00:00"/>
        <d v="2017-11-01T00:00:00"/>
        <d v="2017-03-10T00:00:00"/>
        <d v="2017-06-29T00:00:00"/>
        <d v="2017-08-01T00:00:00"/>
        <d v="2017-11-06T00:00:00"/>
        <d v="2017-08-10T00:00:00"/>
        <d v="2017-10-27T00:00:00"/>
        <d v="2017-11-13T00:00:00"/>
        <d v="2017-06-30T00:00:00"/>
        <d v="2017-11-10T00:00:00"/>
        <d v="2017-03-12T00:00:00"/>
        <d v="2017-11-07T00:00:00"/>
        <d v="2017-11-26T00:00:00"/>
        <d v="2017-11-22T00:00:00"/>
        <d v="2017-08-25T00:00:00"/>
        <d v="2017-03-06T00:00:00"/>
        <d v="2017-10-31T00:00:00"/>
        <d v="2017-07-15T00:00:00"/>
      </sharedItems>
    </cacheField>
    <cacheField name="Días (Fecha de Contratación)" numFmtId="0" databaseField="0">
      <fieldGroup base="4">
        <rangePr groupBy="days" startDate="2017-01-02T00:00:00" endDate="2017-07-01T00:00:00"/>
        <groupItems count="368">
          <s v="&lt;2/1/2017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7/2017"/>
        </groupItems>
      </fieldGroup>
    </cacheField>
    <cacheField name="Meses (Fecha de Contratación)" numFmtId="0" databaseField="0">
      <fieldGroup base="4">
        <rangePr groupBy="months" startDate="2017-01-02T00:00:00" endDate="2017-07-01T00:00:00"/>
        <groupItems count="14">
          <s v="&lt;2/1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7/2017"/>
        </groupItems>
      </fieldGroup>
    </cacheField>
  </cacheFields>
  <extLst>
    <ext xmlns:x14="http://schemas.microsoft.com/office/spreadsheetml/2009/9/main" uri="{725AE2AE-9491-48be-B2B4-4EB974FC3084}">
      <x14:pivotCacheDefinition pivotCacheId="10738783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0">
  <r>
    <x v="0"/>
    <x v="0"/>
    <x v="0"/>
    <x v="0"/>
    <x v="0"/>
    <x v="0"/>
    <x v="0"/>
    <x v="0"/>
  </r>
  <r>
    <x v="1"/>
    <x v="1"/>
    <x v="1"/>
    <x v="1"/>
    <x v="1"/>
    <x v="1"/>
    <x v="1"/>
    <x v="0"/>
  </r>
  <r>
    <x v="2"/>
    <x v="1"/>
    <x v="2"/>
    <x v="2"/>
    <x v="2"/>
    <x v="2"/>
    <x v="2"/>
    <x v="1"/>
  </r>
  <r>
    <x v="3"/>
    <x v="1"/>
    <x v="1"/>
    <x v="3"/>
    <x v="3"/>
    <x v="3"/>
    <x v="3"/>
    <x v="0"/>
  </r>
  <r>
    <x v="4"/>
    <x v="2"/>
    <x v="2"/>
    <x v="3"/>
    <x v="4"/>
    <x v="4"/>
    <x v="4"/>
    <x v="0"/>
  </r>
  <r>
    <x v="5"/>
    <x v="3"/>
    <x v="3"/>
    <x v="2"/>
    <x v="5"/>
    <x v="5"/>
    <x v="5"/>
    <x v="0"/>
  </r>
  <r>
    <x v="6"/>
    <x v="4"/>
    <x v="4"/>
    <x v="0"/>
    <x v="6"/>
    <x v="6"/>
    <x v="2"/>
    <x v="2"/>
  </r>
  <r>
    <x v="7"/>
    <x v="0"/>
    <x v="2"/>
    <x v="2"/>
    <x v="7"/>
    <x v="7"/>
    <x v="6"/>
    <x v="0"/>
  </r>
  <r>
    <x v="8"/>
    <x v="4"/>
    <x v="3"/>
    <x v="1"/>
    <x v="8"/>
    <x v="8"/>
    <x v="7"/>
    <x v="0"/>
  </r>
  <r>
    <x v="9"/>
    <x v="4"/>
    <x v="2"/>
    <x v="0"/>
    <x v="9"/>
    <x v="9"/>
    <x v="8"/>
    <x v="0"/>
  </r>
  <r>
    <x v="10"/>
    <x v="5"/>
    <x v="3"/>
    <x v="4"/>
    <x v="10"/>
    <x v="10"/>
    <x v="9"/>
    <x v="0"/>
  </r>
  <r>
    <x v="11"/>
    <x v="4"/>
    <x v="5"/>
    <x v="2"/>
    <x v="11"/>
    <x v="11"/>
    <x v="10"/>
    <x v="0"/>
  </r>
  <r>
    <x v="12"/>
    <x v="6"/>
    <x v="6"/>
    <x v="4"/>
    <x v="12"/>
    <x v="12"/>
    <x v="11"/>
    <x v="0"/>
  </r>
  <r>
    <x v="13"/>
    <x v="5"/>
    <x v="2"/>
    <x v="5"/>
    <x v="13"/>
    <x v="6"/>
    <x v="2"/>
    <x v="3"/>
  </r>
  <r>
    <x v="14"/>
    <x v="7"/>
    <x v="2"/>
    <x v="6"/>
    <x v="2"/>
    <x v="2"/>
    <x v="12"/>
    <x v="0"/>
  </r>
  <r>
    <x v="15"/>
    <x v="8"/>
    <x v="2"/>
    <x v="3"/>
    <x v="14"/>
    <x v="13"/>
    <x v="13"/>
    <x v="0"/>
  </r>
  <r>
    <x v="16"/>
    <x v="1"/>
    <x v="1"/>
    <x v="0"/>
    <x v="15"/>
    <x v="14"/>
    <x v="14"/>
    <x v="0"/>
  </r>
  <r>
    <x v="17"/>
    <x v="7"/>
    <x v="2"/>
    <x v="3"/>
    <x v="16"/>
    <x v="15"/>
    <x v="2"/>
    <x v="4"/>
  </r>
  <r>
    <x v="18"/>
    <x v="7"/>
    <x v="2"/>
    <x v="2"/>
    <x v="7"/>
    <x v="16"/>
    <x v="15"/>
    <x v="0"/>
  </r>
  <r>
    <x v="19"/>
    <x v="1"/>
    <x v="7"/>
    <x v="2"/>
    <x v="17"/>
    <x v="17"/>
    <x v="16"/>
    <x v="0"/>
  </r>
  <r>
    <x v="20"/>
    <x v="7"/>
    <x v="1"/>
    <x v="3"/>
    <x v="18"/>
    <x v="6"/>
    <x v="2"/>
    <x v="5"/>
  </r>
  <r>
    <x v="21"/>
    <x v="1"/>
    <x v="3"/>
    <x v="2"/>
    <x v="19"/>
    <x v="18"/>
    <x v="17"/>
    <x v="0"/>
  </r>
  <r>
    <x v="22"/>
    <x v="1"/>
    <x v="8"/>
    <x v="2"/>
    <x v="20"/>
    <x v="19"/>
    <x v="4"/>
    <x v="0"/>
  </r>
  <r>
    <x v="23"/>
    <x v="4"/>
    <x v="1"/>
    <x v="2"/>
    <x v="21"/>
    <x v="6"/>
    <x v="2"/>
    <x v="6"/>
  </r>
  <r>
    <x v="24"/>
    <x v="4"/>
    <x v="2"/>
    <x v="1"/>
    <x v="22"/>
    <x v="20"/>
    <x v="18"/>
    <x v="0"/>
  </r>
  <r>
    <x v="25"/>
    <x v="1"/>
    <x v="2"/>
    <x v="4"/>
    <x v="23"/>
    <x v="21"/>
    <x v="19"/>
    <x v="0"/>
  </r>
  <r>
    <x v="26"/>
    <x v="5"/>
    <x v="2"/>
    <x v="2"/>
    <x v="24"/>
    <x v="22"/>
    <x v="20"/>
    <x v="0"/>
  </r>
  <r>
    <x v="27"/>
    <x v="4"/>
    <x v="0"/>
    <x v="1"/>
    <x v="25"/>
    <x v="6"/>
    <x v="2"/>
    <x v="7"/>
  </r>
  <r>
    <x v="28"/>
    <x v="1"/>
    <x v="1"/>
    <x v="2"/>
    <x v="26"/>
    <x v="23"/>
    <x v="21"/>
    <x v="0"/>
  </r>
  <r>
    <x v="29"/>
    <x v="1"/>
    <x v="2"/>
    <x v="4"/>
    <x v="27"/>
    <x v="24"/>
    <x v="22"/>
    <x v="0"/>
  </r>
  <r>
    <x v="30"/>
    <x v="9"/>
    <x v="2"/>
    <x v="3"/>
    <x v="28"/>
    <x v="25"/>
    <x v="2"/>
    <x v="8"/>
  </r>
  <r>
    <x v="31"/>
    <x v="0"/>
    <x v="6"/>
    <x v="2"/>
    <x v="29"/>
    <x v="6"/>
    <x v="2"/>
    <x v="9"/>
  </r>
  <r>
    <x v="32"/>
    <x v="4"/>
    <x v="2"/>
    <x v="6"/>
    <x v="7"/>
    <x v="26"/>
    <x v="23"/>
    <x v="0"/>
  </r>
  <r>
    <x v="33"/>
    <x v="0"/>
    <x v="8"/>
    <x v="6"/>
    <x v="11"/>
    <x v="27"/>
    <x v="24"/>
    <x v="0"/>
  </r>
  <r>
    <x v="34"/>
    <x v="7"/>
    <x v="1"/>
    <x v="4"/>
    <x v="30"/>
    <x v="28"/>
    <x v="25"/>
    <x v="0"/>
  </r>
  <r>
    <x v="35"/>
    <x v="0"/>
    <x v="3"/>
    <x v="2"/>
    <x v="31"/>
    <x v="29"/>
    <x v="26"/>
    <x v="0"/>
  </r>
  <r>
    <x v="36"/>
    <x v="7"/>
    <x v="2"/>
    <x v="6"/>
    <x v="9"/>
    <x v="30"/>
    <x v="27"/>
    <x v="0"/>
  </r>
  <r>
    <x v="37"/>
    <x v="4"/>
    <x v="2"/>
    <x v="2"/>
    <x v="7"/>
    <x v="16"/>
    <x v="28"/>
    <x v="0"/>
  </r>
  <r>
    <x v="38"/>
    <x v="0"/>
    <x v="1"/>
    <x v="1"/>
    <x v="32"/>
    <x v="31"/>
    <x v="29"/>
    <x v="0"/>
  </r>
  <r>
    <x v="39"/>
    <x v="5"/>
    <x v="3"/>
    <x v="1"/>
    <x v="31"/>
    <x v="32"/>
    <x v="30"/>
    <x v="0"/>
  </r>
  <r>
    <x v="40"/>
    <x v="0"/>
    <x v="9"/>
    <x v="1"/>
    <x v="33"/>
    <x v="33"/>
    <x v="31"/>
    <x v="0"/>
  </r>
  <r>
    <x v="41"/>
    <x v="1"/>
    <x v="8"/>
    <x v="6"/>
    <x v="34"/>
    <x v="34"/>
    <x v="32"/>
    <x v="0"/>
  </r>
  <r>
    <x v="42"/>
    <x v="1"/>
    <x v="10"/>
    <x v="4"/>
    <x v="35"/>
    <x v="6"/>
    <x v="2"/>
    <x v="10"/>
  </r>
  <r>
    <x v="43"/>
    <x v="1"/>
    <x v="2"/>
    <x v="2"/>
    <x v="36"/>
    <x v="35"/>
    <x v="33"/>
    <x v="0"/>
  </r>
  <r>
    <x v="44"/>
    <x v="4"/>
    <x v="2"/>
    <x v="2"/>
    <x v="26"/>
    <x v="33"/>
    <x v="34"/>
    <x v="0"/>
  </r>
  <r>
    <x v="45"/>
    <x v="7"/>
    <x v="9"/>
    <x v="4"/>
    <x v="17"/>
    <x v="6"/>
    <x v="2"/>
    <x v="11"/>
  </r>
  <r>
    <x v="46"/>
    <x v="1"/>
    <x v="3"/>
    <x v="6"/>
    <x v="26"/>
    <x v="33"/>
    <x v="35"/>
    <x v="0"/>
  </r>
  <r>
    <x v="47"/>
    <x v="4"/>
    <x v="1"/>
    <x v="2"/>
    <x v="11"/>
    <x v="11"/>
    <x v="23"/>
    <x v="0"/>
  </r>
  <r>
    <x v="48"/>
    <x v="4"/>
    <x v="6"/>
    <x v="1"/>
    <x v="37"/>
    <x v="6"/>
    <x v="2"/>
    <x v="12"/>
  </r>
  <r>
    <x v="49"/>
    <x v="4"/>
    <x v="5"/>
    <x v="2"/>
    <x v="28"/>
    <x v="12"/>
    <x v="36"/>
    <x v="0"/>
  </r>
  <r>
    <x v="50"/>
    <x v="1"/>
    <x v="2"/>
    <x v="0"/>
    <x v="38"/>
    <x v="36"/>
    <x v="22"/>
    <x v="0"/>
  </r>
  <r>
    <x v="51"/>
    <x v="1"/>
    <x v="3"/>
    <x v="5"/>
    <x v="39"/>
    <x v="21"/>
    <x v="37"/>
    <x v="0"/>
  </r>
  <r>
    <x v="52"/>
    <x v="7"/>
    <x v="10"/>
    <x v="3"/>
    <x v="40"/>
    <x v="37"/>
    <x v="38"/>
    <x v="0"/>
  </r>
  <r>
    <x v="53"/>
    <x v="1"/>
    <x v="8"/>
    <x v="0"/>
    <x v="10"/>
    <x v="33"/>
    <x v="39"/>
    <x v="0"/>
  </r>
  <r>
    <x v="54"/>
    <x v="7"/>
    <x v="2"/>
    <x v="4"/>
    <x v="14"/>
    <x v="38"/>
    <x v="40"/>
    <x v="0"/>
  </r>
  <r>
    <x v="55"/>
    <x v="1"/>
    <x v="2"/>
    <x v="2"/>
    <x v="41"/>
    <x v="39"/>
    <x v="41"/>
    <x v="0"/>
  </r>
  <r>
    <x v="56"/>
    <x v="4"/>
    <x v="2"/>
    <x v="0"/>
    <x v="42"/>
    <x v="40"/>
    <x v="31"/>
    <x v="0"/>
  </r>
  <r>
    <x v="57"/>
    <x v="1"/>
    <x v="4"/>
    <x v="6"/>
    <x v="43"/>
    <x v="6"/>
    <x v="2"/>
    <x v="4"/>
  </r>
  <r>
    <x v="58"/>
    <x v="4"/>
    <x v="2"/>
    <x v="4"/>
    <x v="44"/>
    <x v="41"/>
    <x v="7"/>
    <x v="0"/>
  </r>
  <r>
    <x v="59"/>
    <x v="1"/>
    <x v="11"/>
    <x v="2"/>
    <x v="45"/>
    <x v="42"/>
    <x v="42"/>
    <x v="0"/>
  </r>
  <r>
    <x v="60"/>
    <x v="4"/>
    <x v="2"/>
    <x v="5"/>
    <x v="19"/>
    <x v="43"/>
    <x v="43"/>
    <x v="0"/>
  </r>
  <r>
    <x v="61"/>
    <x v="1"/>
    <x v="8"/>
    <x v="0"/>
    <x v="46"/>
    <x v="21"/>
    <x v="44"/>
    <x v="0"/>
  </r>
  <r>
    <x v="62"/>
    <x v="1"/>
    <x v="0"/>
    <x v="3"/>
    <x v="24"/>
    <x v="22"/>
    <x v="45"/>
    <x v="0"/>
  </r>
  <r>
    <x v="63"/>
    <x v="4"/>
    <x v="3"/>
    <x v="6"/>
    <x v="47"/>
    <x v="6"/>
    <x v="2"/>
    <x v="13"/>
  </r>
  <r>
    <x v="64"/>
    <x v="1"/>
    <x v="3"/>
    <x v="6"/>
    <x v="48"/>
    <x v="14"/>
    <x v="46"/>
    <x v="0"/>
  </r>
  <r>
    <x v="65"/>
    <x v="10"/>
    <x v="2"/>
    <x v="1"/>
    <x v="49"/>
    <x v="44"/>
    <x v="47"/>
    <x v="0"/>
  </r>
  <r>
    <x v="66"/>
    <x v="7"/>
    <x v="2"/>
    <x v="6"/>
    <x v="50"/>
    <x v="45"/>
    <x v="48"/>
    <x v="0"/>
  </r>
  <r>
    <x v="67"/>
    <x v="7"/>
    <x v="1"/>
    <x v="3"/>
    <x v="51"/>
    <x v="46"/>
    <x v="49"/>
    <x v="0"/>
  </r>
  <r>
    <x v="68"/>
    <x v="5"/>
    <x v="8"/>
    <x v="0"/>
    <x v="52"/>
    <x v="47"/>
    <x v="50"/>
    <x v="0"/>
  </r>
  <r>
    <x v="48"/>
    <x v="7"/>
    <x v="7"/>
    <x v="3"/>
    <x v="53"/>
    <x v="6"/>
    <x v="2"/>
    <x v="14"/>
  </r>
  <r>
    <x v="49"/>
    <x v="7"/>
    <x v="4"/>
    <x v="2"/>
    <x v="36"/>
    <x v="48"/>
    <x v="51"/>
    <x v="0"/>
  </r>
  <r>
    <x v="52"/>
    <x v="7"/>
    <x v="8"/>
    <x v="1"/>
    <x v="54"/>
    <x v="6"/>
    <x v="2"/>
    <x v="15"/>
  </r>
  <r>
    <x v="53"/>
    <x v="7"/>
    <x v="7"/>
    <x v="0"/>
    <x v="36"/>
    <x v="6"/>
    <x v="2"/>
    <x v="16"/>
  </r>
  <r>
    <x v="69"/>
    <x v="1"/>
    <x v="2"/>
    <x v="2"/>
    <x v="32"/>
    <x v="49"/>
    <x v="52"/>
    <x v="0"/>
  </r>
  <r>
    <x v="70"/>
    <x v="7"/>
    <x v="2"/>
    <x v="2"/>
    <x v="55"/>
    <x v="50"/>
    <x v="12"/>
    <x v="0"/>
  </r>
  <r>
    <x v="71"/>
    <x v="1"/>
    <x v="12"/>
    <x v="2"/>
    <x v="13"/>
    <x v="29"/>
    <x v="53"/>
    <x v="0"/>
  </r>
  <r>
    <x v="56"/>
    <x v="9"/>
    <x v="3"/>
    <x v="2"/>
    <x v="56"/>
    <x v="40"/>
    <x v="54"/>
    <x v="0"/>
  </r>
  <r>
    <x v="57"/>
    <x v="1"/>
    <x v="3"/>
    <x v="0"/>
    <x v="9"/>
    <x v="6"/>
    <x v="2"/>
    <x v="17"/>
  </r>
  <r>
    <x v="58"/>
    <x v="6"/>
    <x v="1"/>
    <x v="1"/>
    <x v="57"/>
    <x v="6"/>
    <x v="2"/>
    <x v="18"/>
  </r>
  <r>
    <x v="60"/>
    <x v="5"/>
    <x v="1"/>
    <x v="1"/>
    <x v="44"/>
    <x v="6"/>
    <x v="2"/>
    <x v="19"/>
  </r>
  <r>
    <x v="72"/>
    <x v="3"/>
    <x v="7"/>
    <x v="3"/>
    <x v="58"/>
    <x v="51"/>
    <x v="31"/>
    <x v="0"/>
  </r>
  <r>
    <x v="61"/>
    <x v="0"/>
    <x v="7"/>
    <x v="4"/>
    <x v="47"/>
    <x v="52"/>
    <x v="55"/>
    <x v="0"/>
  </r>
  <r>
    <x v="62"/>
    <x v="0"/>
    <x v="2"/>
    <x v="3"/>
    <x v="47"/>
    <x v="53"/>
    <x v="40"/>
    <x v="0"/>
  </r>
  <r>
    <x v="73"/>
    <x v="4"/>
    <x v="2"/>
    <x v="3"/>
    <x v="33"/>
    <x v="54"/>
    <x v="56"/>
    <x v="0"/>
  </r>
  <r>
    <x v="74"/>
    <x v="1"/>
    <x v="2"/>
    <x v="6"/>
    <x v="59"/>
    <x v="55"/>
    <x v="57"/>
    <x v="0"/>
  </r>
  <r>
    <x v="64"/>
    <x v="5"/>
    <x v="2"/>
    <x v="3"/>
    <x v="7"/>
    <x v="6"/>
    <x v="2"/>
    <x v="20"/>
  </r>
  <r>
    <x v="66"/>
    <x v="5"/>
    <x v="1"/>
    <x v="4"/>
    <x v="36"/>
    <x v="35"/>
    <x v="58"/>
    <x v="0"/>
  </r>
  <r>
    <x v="75"/>
    <x v="7"/>
    <x v="1"/>
    <x v="6"/>
    <x v="11"/>
    <x v="56"/>
    <x v="15"/>
    <x v="0"/>
  </r>
  <r>
    <x v="76"/>
    <x v="7"/>
    <x v="2"/>
    <x v="3"/>
    <x v="60"/>
    <x v="57"/>
    <x v="59"/>
    <x v="0"/>
  </r>
  <r>
    <x v="77"/>
    <x v="0"/>
    <x v="2"/>
    <x v="4"/>
    <x v="10"/>
    <x v="6"/>
    <x v="2"/>
    <x v="21"/>
  </r>
  <r>
    <x v="78"/>
    <x v="1"/>
    <x v="3"/>
    <x v="0"/>
    <x v="6"/>
    <x v="6"/>
    <x v="2"/>
    <x v="22"/>
  </r>
  <r>
    <x v="79"/>
    <x v="4"/>
    <x v="3"/>
    <x v="5"/>
    <x v="61"/>
    <x v="42"/>
    <x v="38"/>
    <x v="0"/>
  </r>
  <r>
    <x v="80"/>
    <x v="4"/>
    <x v="1"/>
    <x v="6"/>
    <x v="45"/>
    <x v="58"/>
    <x v="60"/>
    <x v="0"/>
  </r>
  <r>
    <x v="81"/>
    <x v="4"/>
    <x v="2"/>
    <x v="2"/>
    <x v="17"/>
    <x v="12"/>
    <x v="12"/>
    <x v="0"/>
  </r>
  <r>
    <x v="82"/>
    <x v="1"/>
    <x v="0"/>
    <x v="0"/>
    <x v="62"/>
    <x v="29"/>
    <x v="53"/>
    <x v="0"/>
  </r>
  <r>
    <x v="83"/>
    <x v="1"/>
    <x v="7"/>
    <x v="2"/>
    <x v="63"/>
    <x v="57"/>
    <x v="61"/>
    <x v="0"/>
  </r>
  <r>
    <x v="84"/>
    <x v="6"/>
    <x v="3"/>
    <x v="5"/>
    <x v="9"/>
    <x v="59"/>
    <x v="62"/>
    <x v="0"/>
  </r>
  <r>
    <x v="85"/>
    <x v="8"/>
    <x v="6"/>
    <x v="4"/>
    <x v="43"/>
    <x v="6"/>
    <x v="2"/>
    <x v="23"/>
  </r>
  <r>
    <x v="86"/>
    <x v="9"/>
    <x v="1"/>
    <x v="6"/>
    <x v="38"/>
    <x v="6"/>
    <x v="2"/>
    <x v="24"/>
  </r>
  <r>
    <x v="87"/>
    <x v="1"/>
    <x v="11"/>
    <x v="5"/>
    <x v="61"/>
    <x v="6"/>
    <x v="2"/>
    <x v="25"/>
  </r>
  <r>
    <x v="88"/>
    <x v="7"/>
    <x v="4"/>
    <x v="6"/>
    <x v="64"/>
    <x v="15"/>
    <x v="2"/>
    <x v="26"/>
  </r>
  <r>
    <x v="89"/>
    <x v="2"/>
    <x v="7"/>
    <x v="3"/>
    <x v="61"/>
    <x v="37"/>
    <x v="50"/>
    <x v="0"/>
  </r>
  <r>
    <x v="90"/>
    <x v="1"/>
    <x v="9"/>
    <x v="2"/>
    <x v="65"/>
    <x v="5"/>
    <x v="63"/>
    <x v="0"/>
  </r>
  <r>
    <x v="91"/>
    <x v="0"/>
    <x v="1"/>
    <x v="6"/>
    <x v="54"/>
    <x v="6"/>
    <x v="2"/>
    <x v="27"/>
  </r>
  <r>
    <x v="92"/>
    <x v="7"/>
    <x v="2"/>
    <x v="3"/>
    <x v="14"/>
    <x v="60"/>
    <x v="28"/>
    <x v="0"/>
  </r>
  <r>
    <x v="93"/>
    <x v="10"/>
    <x v="6"/>
    <x v="4"/>
    <x v="16"/>
    <x v="58"/>
    <x v="40"/>
    <x v="0"/>
  </r>
  <r>
    <x v="94"/>
    <x v="0"/>
    <x v="2"/>
    <x v="3"/>
    <x v="66"/>
    <x v="51"/>
    <x v="64"/>
    <x v="0"/>
  </r>
  <r>
    <x v="95"/>
    <x v="10"/>
    <x v="1"/>
    <x v="5"/>
    <x v="67"/>
    <x v="6"/>
    <x v="2"/>
    <x v="28"/>
  </r>
  <r>
    <x v="96"/>
    <x v="7"/>
    <x v="2"/>
    <x v="2"/>
    <x v="68"/>
    <x v="6"/>
    <x v="2"/>
    <x v="29"/>
  </r>
  <r>
    <x v="97"/>
    <x v="10"/>
    <x v="7"/>
    <x v="4"/>
    <x v="58"/>
    <x v="29"/>
    <x v="3"/>
    <x v="0"/>
  </r>
  <r>
    <x v="98"/>
    <x v="4"/>
    <x v="2"/>
    <x v="2"/>
    <x v="69"/>
    <x v="61"/>
    <x v="12"/>
    <x v="0"/>
  </r>
  <r>
    <x v="99"/>
    <x v="4"/>
    <x v="5"/>
    <x v="3"/>
    <x v="70"/>
    <x v="62"/>
    <x v="25"/>
    <x v="0"/>
  </r>
  <r>
    <x v="100"/>
    <x v="4"/>
    <x v="2"/>
    <x v="3"/>
    <x v="70"/>
    <x v="63"/>
    <x v="37"/>
    <x v="0"/>
  </r>
  <r>
    <x v="101"/>
    <x v="4"/>
    <x v="5"/>
    <x v="2"/>
    <x v="29"/>
    <x v="63"/>
    <x v="49"/>
    <x v="0"/>
  </r>
  <r>
    <x v="102"/>
    <x v="8"/>
    <x v="3"/>
    <x v="5"/>
    <x v="64"/>
    <x v="60"/>
    <x v="15"/>
    <x v="0"/>
  </r>
  <r>
    <x v="103"/>
    <x v="4"/>
    <x v="2"/>
    <x v="4"/>
    <x v="53"/>
    <x v="20"/>
    <x v="65"/>
    <x v="0"/>
  </r>
  <r>
    <x v="83"/>
    <x v="10"/>
    <x v="9"/>
    <x v="6"/>
    <x v="16"/>
    <x v="6"/>
    <x v="2"/>
    <x v="30"/>
  </r>
  <r>
    <x v="104"/>
    <x v="10"/>
    <x v="5"/>
    <x v="6"/>
    <x v="15"/>
    <x v="6"/>
    <x v="2"/>
    <x v="31"/>
  </r>
  <r>
    <x v="87"/>
    <x v="7"/>
    <x v="2"/>
    <x v="6"/>
    <x v="20"/>
    <x v="6"/>
    <x v="2"/>
    <x v="32"/>
  </r>
  <r>
    <x v="88"/>
    <x v="1"/>
    <x v="2"/>
    <x v="6"/>
    <x v="71"/>
    <x v="44"/>
    <x v="47"/>
    <x v="0"/>
  </r>
  <r>
    <x v="105"/>
    <x v="1"/>
    <x v="1"/>
    <x v="2"/>
    <x v="15"/>
    <x v="48"/>
    <x v="3"/>
    <x v="0"/>
  </r>
  <r>
    <x v="106"/>
    <x v="1"/>
    <x v="3"/>
    <x v="3"/>
    <x v="54"/>
    <x v="21"/>
    <x v="4"/>
    <x v="0"/>
  </r>
  <r>
    <x v="90"/>
    <x v="4"/>
    <x v="1"/>
    <x v="2"/>
    <x v="62"/>
    <x v="64"/>
    <x v="49"/>
    <x v="0"/>
  </r>
  <r>
    <x v="107"/>
    <x v="7"/>
    <x v="8"/>
    <x v="1"/>
    <x v="49"/>
    <x v="44"/>
    <x v="41"/>
    <x v="0"/>
  </r>
  <r>
    <x v="108"/>
    <x v="5"/>
    <x v="12"/>
    <x v="2"/>
    <x v="3"/>
    <x v="65"/>
    <x v="53"/>
    <x v="0"/>
  </r>
  <r>
    <x v="109"/>
    <x v="5"/>
    <x v="8"/>
    <x v="6"/>
    <x v="28"/>
    <x v="12"/>
    <x v="57"/>
    <x v="0"/>
  </r>
  <r>
    <x v="92"/>
    <x v="4"/>
    <x v="6"/>
    <x v="6"/>
    <x v="24"/>
    <x v="22"/>
    <x v="66"/>
    <x v="0"/>
  </r>
  <r>
    <x v="110"/>
    <x v="8"/>
    <x v="2"/>
    <x v="2"/>
    <x v="61"/>
    <x v="49"/>
    <x v="52"/>
    <x v="0"/>
  </r>
  <r>
    <x v="111"/>
    <x v="4"/>
    <x v="2"/>
    <x v="5"/>
    <x v="0"/>
    <x v="0"/>
    <x v="38"/>
    <x v="0"/>
  </r>
  <r>
    <x v="112"/>
    <x v="7"/>
    <x v="1"/>
    <x v="6"/>
    <x v="47"/>
    <x v="66"/>
    <x v="53"/>
    <x v="0"/>
  </r>
  <r>
    <x v="95"/>
    <x v="4"/>
    <x v="1"/>
    <x v="2"/>
    <x v="10"/>
    <x v="6"/>
    <x v="2"/>
    <x v="31"/>
  </r>
  <r>
    <x v="113"/>
    <x v="7"/>
    <x v="1"/>
    <x v="2"/>
    <x v="55"/>
    <x v="38"/>
    <x v="67"/>
    <x v="0"/>
  </r>
  <r>
    <x v="98"/>
    <x v="7"/>
    <x v="1"/>
    <x v="3"/>
    <x v="72"/>
    <x v="67"/>
    <x v="24"/>
    <x v="0"/>
  </r>
  <r>
    <x v="99"/>
    <x v="1"/>
    <x v="3"/>
    <x v="4"/>
    <x v="17"/>
    <x v="6"/>
    <x v="2"/>
    <x v="33"/>
  </r>
  <r>
    <x v="114"/>
    <x v="9"/>
    <x v="5"/>
    <x v="0"/>
    <x v="23"/>
    <x v="68"/>
    <x v="31"/>
    <x v="0"/>
  </r>
  <r>
    <x v="115"/>
    <x v="0"/>
    <x v="3"/>
    <x v="6"/>
    <x v="30"/>
    <x v="69"/>
    <x v="33"/>
    <x v="0"/>
  </r>
  <r>
    <x v="116"/>
    <x v="10"/>
    <x v="2"/>
    <x v="0"/>
    <x v="40"/>
    <x v="6"/>
    <x v="2"/>
    <x v="34"/>
  </r>
  <r>
    <x v="117"/>
    <x v="4"/>
    <x v="2"/>
    <x v="4"/>
    <x v="54"/>
    <x v="19"/>
    <x v="68"/>
    <x v="0"/>
  </r>
  <r>
    <x v="103"/>
    <x v="1"/>
    <x v="2"/>
    <x v="0"/>
    <x v="28"/>
    <x v="6"/>
    <x v="2"/>
    <x v="35"/>
  </r>
  <r>
    <x v="85"/>
    <x v="4"/>
    <x v="1"/>
    <x v="2"/>
    <x v="73"/>
    <x v="70"/>
    <x v="63"/>
    <x v="0"/>
  </r>
  <r>
    <x v="118"/>
    <x v="5"/>
    <x v="2"/>
    <x v="4"/>
    <x v="5"/>
    <x v="71"/>
    <x v="63"/>
    <x v="0"/>
  </r>
  <r>
    <x v="104"/>
    <x v="4"/>
    <x v="8"/>
    <x v="2"/>
    <x v="58"/>
    <x v="43"/>
    <x v="25"/>
    <x v="0"/>
  </r>
  <r>
    <x v="119"/>
    <x v="8"/>
    <x v="2"/>
    <x v="1"/>
    <x v="20"/>
    <x v="72"/>
    <x v="34"/>
    <x v="0"/>
  </r>
  <r>
    <x v="88"/>
    <x v="7"/>
    <x v="1"/>
    <x v="1"/>
    <x v="3"/>
    <x v="70"/>
    <x v="55"/>
    <x v="0"/>
  </r>
  <r>
    <x v="120"/>
    <x v="10"/>
    <x v="2"/>
    <x v="6"/>
    <x v="72"/>
    <x v="67"/>
    <x v="36"/>
    <x v="0"/>
  </r>
  <r>
    <x v="105"/>
    <x v="8"/>
    <x v="3"/>
    <x v="5"/>
    <x v="30"/>
    <x v="73"/>
    <x v="39"/>
    <x v="0"/>
  </r>
  <r>
    <x v="89"/>
    <x v="2"/>
    <x v="2"/>
    <x v="2"/>
    <x v="58"/>
    <x v="43"/>
    <x v="49"/>
    <x v="0"/>
  </r>
  <r>
    <x v="121"/>
    <x v="4"/>
    <x v="11"/>
    <x v="2"/>
    <x v="4"/>
    <x v="6"/>
    <x v="2"/>
    <x v="36"/>
  </r>
  <r>
    <x v="90"/>
    <x v="1"/>
    <x v="2"/>
    <x v="6"/>
    <x v="53"/>
    <x v="6"/>
    <x v="2"/>
    <x v="26"/>
  </r>
  <r>
    <x v="122"/>
    <x v="5"/>
    <x v="3"/>
    <x v="0"/>
    <x v="31"/>
    <x v="74"/>
    <x v="69"/>
    <x v="0"/>
  </r>
  <r>
    <x v="123"/>
    <x v="0"/>
    <x v="3"/>
    <x v="4"/>
    <x v="29"/>
    <x v="18"/>
    <x v="3"/>
    <x v="0"/>
  </r>
  <r>
    <x v="107"/>
    <x v="7"/>
    <x v="1"/>
    <x v="6"/>
    <x v="59"/>
    <x v="25"/>
    <x v="10"/>
    <x v="0"/>
  </r>
  <r>
    <x v="108"/>
    <x v="7"/>
    <x v="2"/>
    <x v="1"/>
    <x v="71"/>
    <x v="75"/>
    <x v="29"/>
    <x v="0"/>
  </r>
  <r>
    <x v="91"/>
    <x v="1"/>
    <x v="8"/>
    <x v="4"/>
    <x v="17"/>
    <x v="17"/>
    <x v="70"/>
    <x v="0"/>
  </r>
  <r>
    <x v="124"/>
    <x v="1"/>
    <x v="3"/>
    <x v="4"/>
    <x v="47"/>
    <x v="25"/>
    <x v="6"/>
    <x v="0"/>
  </r>
  <r>
    <x v="93"/>
    <x v="6"/>
    <x v="4"/>
    <x v="5"/>
    <x v="58"/>
    <x v="51"/>
    <x v="31"/>
    <x v="0"/>
  </r>
  <r>
    <x v="94"/>
    <x v="0"/>
    <x v="3"/>
    <x v="2"/>
    <x v="3"/>
    <x v="7"/>
    <x v="71"/>
    <x v="0"/>
  </r>
  <r>
    <x v="95"/>
    <x v="9"/>
    <x v="2"/>
    <x v="5"/>
    <x v="17"/>
    <x v="6"/>
    <x v="2"/>
    <x v="22"/>
  </r>
  <r>
    <x v="113"/>
    <x v="6"/>
    <x v="1"/>
    <x v="6"/>
    <x v="33"/>
    <x v="76"/>
    <x v="34"/>
    <x v="0"/>
  </r>
  <r>
    <x v="96"/>
    <x v="1"/>
    <x v="9"/>
    <x v="5"/>
    <x v="74"/>
    <x v="6"/>
    <x v="2"/>
    <x v="37"/>
  </r>
  <r>
    <x v="97"/>
    <x v="5"/>
    <x v="1"/>
    <x v="2"/>
    <x v="32"/>
    <x v="6"/>
    <x v="2"/>
    <x v="38"/>
  </r>
  <r>
    <x v="125"/>
    <x v="4"/>
    <x v="8"/>
    <x v="3"/>
    <x v="32"/>
    <x v="77"/>
    <x v="29"/>
    <x v="0"/>
  </r>
  <r>
    <x v="99"/>
    <x v="1"/>
    <x v="2"/>
    <x v="3"/>
    <x v="19"/>
    <x v="46"/>
    <x v="34"/>
    <x v="0"/>
  </r>
  <r>
    <x v="126"/>
    <x v="1"/>
    <x v="1"/>
    <x v="0"/>
    <x v="62"/>
    <x v="6"/>
    <x v="2"/>
    <x v="39"/>
  </r>
  <r>
    <x v="102"/>
    <x v="0"/>
    <x v="4"/>
    <x v="1"/>
    <x v="19"/>
    <x v="48"/>
    <x v="49"/>
    <x v="0"/>
  </r>
  <r>
    <x v="127"/>
    <x v="1"/>
    <x v="3"/>
    <x v="2"/>
    <x v="37"/>
    <x v="26"/>
    <x v="72"/>
    <x v="0"/>
  </r>
  <r>
    <x v="117"/>
    <x v="1"/>
    <x v="2"/>
    <x v="3"/>
    <x v="65"/>
    <x v="64"/>
    <x v="26"/>
    <x v="0"/>
  </r>
  <r>
    <x v="128"/>
    <x v="0"/>
    <x v="11"/>
    <x v="5"/>
    <x v="30"/>
    <x v="6"/>
    <x v="2"/>
    <x v="40"/>
  </r>
  <r>
    <x v="129"/>
    <x v="3"/>
    <x v="0"/>
    <x v="0"/>
    <x v="4"/>
    <x v="78"/>
    <x v="5"/>
    <x v="0"/>
  </r>
  <r>
    <x v="130"/>
    <x v="1"/>
    <x v="2"/>
    <x v="6"/>
    <x v="27"/>
    <x v="13"/>
    <x v="48"/>
    <x v="0"/>
  </r>
  <r>
    <x v="131"/>
    <x v="1"/>
    <x v="1"/>
    <x v="1"/>
    <x v="59"/>
    <x v="2"/>
    <x v="13"/>
    <x v="0"/>
  </r>
  <r>
    <x v="132"/>
    <x v="1"/>
    <x v="10"/>
    <x v="0"/>
    <x v="27"/>
    <x v="70"/>
    <x v="63"/>
    <x v="0"/>
  </r>
  <r>
    <x v="133"/>
    <x v="8"/>
    <x v="8"/>
    <x v="1"/>
    <x v="24"/>
    <x v="39"/>
    <x v="20"/>
    <x v="0"/>
  </r>
  <r>
    <x v="134"/>
    <x v="2"/>
    <x v="2"/>
    <x v="2"/>
    <x v="75"/>
    <x v="15"/>
    <x v="2"/>
    <x v="19"/>
  </r>
  <r>
    <x v="135"/>
    <x v="2"/>
    <x v="6"/>
    <x v="3"/>
    <x v="27"/>
    <x v="24"/>
    <x v="24"/>
    <x v="0"/>
  </r>
  <r>
    <x v="136"/>
    <x v="1"/>
    <x v="2"/>
    <x v="4"/>
    <x v="72"/>
    <x v="6"/>
    <x v="2"/>
    <x v="19"/>
  </r>
  <r>
    <x v="137"/>
    <x v="4"/>
    <x v="2"/>
    <x v="4"/>
    <x v="67"/>
    <x v="66"/>
    <x v="67"/>
    <x v="0"/>
  </r>
  <r>
    <x v="138"/>
    <x v="4"/>
    <x v="11"/>
    <x v="6"/>
    <x v="67"/>
    <x v="38"/>
    <x v="40"/>
    <x v="0"/>
  </r>
  <r>
    <x v="139"/>
    <x v="1"/>
    <x v="8"/>
    <x v="2"/>
    <x v="74"/>
    <x v="26"/>
    <x v="24"/>
    <x v="0"/>
  </r>
  <r>
    <x v="140"/>
    <x v="5"/>
    <x v="3"/>
    <x v="1"/>
    <x v="71"/>
    <x v="6"/>
    <x v="2"/>
    <x v="41"/>
  </r>
  <r>
    <x v="141"/>
    <x v="4"/>
    <x v="2"/>
    <x v="2"/>
    <x v="22"/>
    <x v="79"/>
    <x v="73"/>
    <x v="0"/>
  </r>
  <r>
    <x v="142"/>
    <x v="2"/>
    <x v="2"/>
    <x v="2"/>
    <x v="19"/>
    <x v="4"/>
    <x v="74"/>
    <x v="0"/>
  </r>
  <r>
    <x v="143"/>
    <x v="7"/>
    <x v="5"/>
    <x v="1"/>
    <x v="71"/>
    <x v="80"/>
    <x v="45"/>
    <x v="0"/>
  </r>
  <r>
    <x v="144"/>
    <x v="10"/>
    <x v="1"/>
    <x v="6"/>
    <x v="42"/>
    <x v="21"/>
    <x v="75"/>
    <x v="0"/>
  </r>
  <r>
    <x v="145"/>
    <x v="1"/>
    <x v="2"/>
    <x v="1"/>
    <x v="59"/>
    <x v="0"/>
    <x v="52"/>
    <x v="0"/>
  </r>
  <r>
    <x v="146"/>
    <x v="1"/>
    <x v="8"/>
    <x v="2"/>
    <x v="60"/>
    <x v="5"/>
    <x v="53"/>
    <x v="0"/>
  </r>
  <r>
    <x v="147"/>
    <x v="1"/>
    <x v="2"/>
    <x v="3"/>
    <x v="4"/>
    <x v="64"/>
    <x v="59"/>
    <x v="0"/>
  </r>
  <r>
    <x v="148"/>
    <x v="0"/>
    <x v="8"/>
    <x v="6"/>
    <x v="76"/>
    <x v="6"/>
    <x v="2"/>
    <x v="42"/>
  </r>
  <r>
    <x v="149"/>
    <x v="1"/>
    <x v="3"/>
    <x v="5"/>
    <x v="13"/>
    <x v="6"/>
    <x v="2"/>
    <x v="20"/>
  </r>
  <r>
    <x v="150"/>
    <x v="4"/>
    <x v="2"/>
    <x v="4"/>
    <x v="25"/>
    <x v="6"/>
    <x v="2"/>
    <x v="43"/>
  </r>
  <r>
    <x v="151"/>
    <x v="1"/>
    <x v="7"/>
    <x v="1"/>
    <x v="60"/>
    <x v="5"/>
    <x v="2"/>
    <x v="44"/>
  </r>
  <r>
    <x v="152"/>
    <x v="6"/>
    <x v="3"/>
    <x v="1"/>
    <x v="25"/>
    <x v="81"/>
    <x v="34"/>
    <x v="0"/>
  </r>
  <r>
    <x v="153"/>
    <x v="4"/>
    <x v="5"/>
    <x v="6"/>
    <x v="53"/>
    <x v="45"/>
    <x v="18"/>
    <x v="0"/>
  </r>
  <r>
    <x v="154"/>
    <x v="1"/>
    <x v="4"/>
    <x v="3"/>
    <x v="41"/>
    <x v="75"/>
    <x v="2"/>
    <x v="45"/>
  </r>
  <r>
    <x v="155"/>
    <x v="3"/>
    <x v="2"/>
    <x v="2"/>
    <x v="73"/>
    <x v="8"/>
    <x v="24"/>
    <x v="0"/>
  </r>
  <r>
    <x v="129"/>
    <x v="0"/>
    <x v="3"/>
    <x v="6"/>
    <x v="72"/>
    <x v="70"/>
    <x v="76"/>
    <x v="0"/>
  </r>
  <r>
    <x v="131"/>
    <x v="4"/>
    <x v="3"/>
    <x v="0"/>
    <x v="37"/>
    <x v="3"/>
    <x v="77"/>
    <x v="0"/>
  </r>
  <r>
    <x v="132"/>
    <x v="1"/>
    <x v="8"/>
    <x v="3"/>
    <x v="2"/>
    <x v="12"/>
    <x v="78"/>
    <x v="0"/>
  </r>
  <r>
    <x v="156"/>
    <x v="7"/>
    <x v="3"/>
    <x v="3"/>
    <x v="62"/>
    <x v="57"/>
    <x v="23"/>
    <x v="0"/>
  </r>
  <r>
    <x v="157"/>
    <x v="4"/>
    <x v="11"/>
    <x v="3"/>
    <x v="5"/>
    <x v="82"/>
    <x v="15"/>
    <x v="0"/>
  </r>
  <r>
    <x v="158"/>
    <x v="5"/>
    <x v="4"/>
    <x v="2"/>
    <x v="77"/>
    <x v="50"/>
    <x v="73"/>
    <x v="0"/>
  </r>
  <r>
    <x v="133"/>
    <x v="7"/>
    <x v="1"/>
    <x v="1"/>
    <x v="22"/>
    <x v="79"/>
    <x v="57"/>
    <x v="0"/>
  </r>
  <r>
    <x v="159"/>
    <x v="0"/>
    <x v="2"/>
    <x v="4"/>
    <x v="2"/>
    <x v="6"/>
    <x v="2"/>
    <x v="46"/>
  </r>
  <r>
    <x v="134"/>
    <x v="3"/>
    <x v="3"/>
    <x v="1"/>
    <x v="48"/>
    <x v="63"/>
    <x v="4"/>
    <x v="0"/>
  </r>
  <r>
    <x v="135"/>
    <x v="7"/>
    <x v="6"/>
    <x v="3"/>
    <x v="42"/>
    <x v="30"/>
    <x v="79"/>
    <x v="0"/>
  </r>
  <r>
    <x v="136"/>
    <x v="1"/>
    <x v="2"/>
    <x v="6"/>
    <x v="76"/>
    <x v="82"/>
    <x v="26"/>
    <x v="0"/>
  </r>
  <r>
    <x v="160"/>
    <x v="7"/>
    <x v="1"/>
    <x v="1"/>
    <x v="1"/>
    <x v="6"/>
    <x v="2"/>
    <x v="47"/>
  </r>
  <r>
    <x v="161"/>
    <x v="10"/>
    <x v="2"/>
    <x v="4"/>
    <x v="2"/>
    <x v="41"/>
    <x v="12"/>
    <x v="0"/>
  </r>
  <r>
    <x v="137"/>
    <x v="7"/>
    <x v="4"/>
    <x v="2"/>
    <x v="73"/>
    <x v="52"/>
    <x v="36"/>
    <x v="0"/>
  </r>
  <r>
    <x v="141"/>
    <x v="0"/>
    <x v="3"/>
    <x v="1"/>
    <x v="58"/>
    <x v="83"/>
    <x v="5"/>
    <x v="0"/>
  </r>
  <r>
    <x v="142"/>
    <x v="1"/>
    <x v="1"/>
    <x v="2"/>
    <x v="11"/>
    <x v="11"/>
    <x v="80"/>
    <x v="0"/>
  </r>
  <r>
    <x v="162"/>
    <x v="2"/>
    <x v="5"/>
    <x v="1"/>
    <x v="38"/>
    <x v="39"/>
    <x v="81"/>
    <x v="0"/>
  </r>
  <r>
    <x v="163"/>
    <x v="1"/>
    <x v="8"/>
    <x v="0"/>
    <x v="24"/>
    <x v="84"/>
    <x v="29"/>
    <x v="0"/>
  </r>
  <r>
    <x v="145"/>
    <x v="7"/>
    <x v="9"/>
    <x v="2"/>
    <x v="26"/>
    <x v="21"/>
    <x v="8"/>
    <x v="0"/>
  </r>
  <r>
    <x v="147"/>
    <x v="0"/>
    <x v="1"/>
    <x v="2"/>
    <x v="59"/>
    <x v="1"/>
    <x v="11"/>
    <x v="0"/>
  </r>
  <r>
    <x v="164"/>
    <x v="4"/>
    <x v="2"/>
    <x v="4"/>
    <x v="39"/>
    <x v="19"/>
    <x v="9"/>
    <x v="0"/>
  </r>
  <r>
    <x v="165"/>
    <x v="7"/>
    <x v="2"/>
    <x v="2"/>
    <x v="9"/>
    <x v="59"/>
    <x v="79"/>
    <x v="0"/>
  </r>
  <r>
    <x v="148"/>
    <x v="7"/>
    <x v="0"/>
    <x v="6"/>
    <x v="10"/>
    <x v="40"/>
    <x v="79"/>
    <x v="0"/>
  </r>
  <r>
    <x v="149"/>
    <x v="1"/>
    <x v="8"/>
    <x v="2"/>
    <x v="36"/>
    <x v="78"/>
    <x v="59"/>
    <x v="0"/>
  </r>
  <r>
    <x v="151"/>
    <x v="7"/>
    <x v="2"/>
    <x v="3"/>
    <x v="34"/>
    <x v="44"/>
    <x v="82"/>
    <x v="0"/>
  </r>
  <r>
    <x v="166"/>
    <x v="1"/>
    <x v="0"/>
    <x v="1"/>
    <x v="78"/>
    <x v="19"/>
    <x v="83"/>
    <x v="0"/>
  </r>
  <r>
    <x v="167"/>
    <x v="2"/>
    <x v="7"/>
    <x v="2"/>
    <x v="40"/>
    <x v="84"/>
    <x v="84"/>
    <x v="0"/>
  </r>
  <r>
    <x v="168"/>
    <x v="7"/>
    <x v="11"/>
    <x v="2"/>
    <x v="68"/>
    <x v="42"/>
    <x v="0"/>
    <x v="0"/>
  </r>
  <r>
    <x v="169"/>
    <x v="4"/>
    <x v="12"/>
    <x v="0"/>
    <x v="62"/>
    <x v="64"/>
    <x v="63"/>
    <x v="0"/>
  </r>
  <r>
    <x v="170"/>
    <x v="1"/>
    <x v="6"/>
    <x v="6"/>
    <x v="38"/>
    <x v="6"/>
    <x v="2"/>
    <x v="46"/>
  </r>
  <r>
    <x v="171"/>
    <x v="8"/>
    <x v="0"/>
    <x v="3"/>
    <x v="38"/>
    <x v="39"/>
    <x v="52"/>
    <x v="0"/>
  </r>
  <r>
    <x v="172"/>
    <x v="7"/>
    <x v="6"/>
    <x v="2"/>
    <x v="51"/>
    <x v="6"/>
    <x v="2"/>
    <x v="48"/>
  </r>
  <r>
    <x v="173"/>
    <x v="0"/>
    <x v="3"/>
    <x v="4"/>
    <x v="13"/>
    <x v="6"/>
    <x v="2"/>
    <x v="49"/>
  </r>
  <r>
    <x v="174"/>
    <x v="4"/>
    <x v="6"/>
    <x v="3"/>
    <x v="74"/>
    <x v="6"/>
    <x v="2"/>
    <x v="50"/>
  </r>
  <r>
    <x v="175"/>
    <x v="4"/>
    <x v="1"/>
    <x v="2"/>
    <x v="54"/>
    <x v="85"/>
    <x v="56"/>
    <x v="0"/>
  </r>
  <r>
    <x v="176"/>
    <x v="4"/>
    <x v="2"/>
    <x v="3"/>
    <x v="32"/>
    <x v="6"/>
    <x v="2"/>
    <x v="25"/>
  </r>
  <r>
    <x v="177"/>
    <x v="1"/>
    <x v="0"/>
    <x v="3"/>
    <x v="44"/>
    <x v="17"/>
    <x v="57"/>
    <x v="0"/>
  </r>
  <r>
    <x v="178"/>
    <x v="1"/>
    <x v="1"/>
    <x v="2"/>
    <x v="26"/>
    <x v="33"/>
    <x v="9"/>
    <x v="0"/>
  </r>
  <r>
    <x v="179"/>
    <x v="7"/>
    <x v="2"/>
    <x v="4"/>
    <x v="33"/>
    <x v="86"/>
    <x v="85"/>
    <x v="0"/>
  </r>
  <r>
    <x v="180"/>
    <x v="4"/>
    <x v="6"/>
    <x v="6"/>
    <x v="0"/>
    <x v="6"/>
    <x v="2"/>
    <x v="51"/>
  </r>
  <r>
    <x v="181"/>
    <x v="7"/>
    <x v="1"/>
    <x v="0"/>
    <x v="71"/>
    <x v="15"/>
    <x v="2"/>
    <x v="46"/>
  </r>
  <r>
    <x v="182"/>
    <x v="4"/>
    <x v="1"/>
    <x v="1"/>
    <x v="79"/>
    <x v="87"/>
    <x v="67"/>
    <x v="0"/>
  </r>
  <r>
    <x v="183"/>
    <x v="4"/>
    <x v="10"/>
    <x v="5"/>
    <x v="18"/>
    <x v="10"/>
    <x v="86"/>
    <x v="0"/>
  </r>
  <r>
    <x v="184"/>
    <x v="8"/>
    <x v="1"/>
    <x v="1"/>
    <x v="80"/>
    <x v="52"/>
    <x v="1"/>
    <x v="0"/>
  </r>
  <r>
    <x v="185"/>
    <x v="5"/>
    <x v="6"/>
    <x v="2"/>
    <x v="22"/>
    <x v="6"/>
    <x v="2"/>
    <x v="52"/>
  </r>
  <r>
    <x v="186"/>
    <x v="2"/>
    <x v="2"/>
    <x v="2"/>
    <x v="52"/>
    <x v="31"/>
    <x v="32"/>
    <x v="0"/>
  </r>
  <r>
    <x v="187"/>
    <x v="7"/>
    <x v="7"/>
    <x v="4"/>
    <x v="56"/>
    <x v="10"/>
    <x v="4"/>
    <x v="0"/>
  </r>
  <r>
    <x v="188"/>
    <x v="6"/>
    <x v="11"/>
    <x v="1"/>
    <x v="69"/>
    <x v="88"/>
    <x v="87"/>
    <x v="0"/>
  </r>
  <r>
    <x v="189"/>
    <x v="1"/>
    <x v="6"/>
    <x v="2"/>
    <x v="75"/>
    <x v="32"/>
    <x v="49"/>
    <x v="0"/>
  </r>
  <r>
    <x v="190"/>
    <x v="1"/>
    <x v="2"/>
    <x v="0"/>
    <x v="35"/>
    <x v="6"/>
    <x v="2"/>
    <x v="19"/>
  </r>
  <r>
    <x v="191"/>
    <x v="1"/>
    <x v="2"/>
    <x v="3"/>
    <x v="81"/>
    <x v="6"/>
    <x v="2"/>
    <x v="53"/>
  </r>
  <r>
    <x v="192"/>
    <x v="1"/>
    <x v="1"/>
    <x v="4"/>
    <x v="82"/>
    <x v="76"/>
    <x v="88"/>
    <x v="0"/>
  </r>
  <r>
    <x v="193"/>
    <x v="1"/>
    <x v="2"/>
    <x v="4"/>
    <x v="28"/>
    <x v="6"/>
    <x v="2"/>
    <x v="30"/>
  </r>
  <r>
    <x v="194"/>
    <x v="4"/>
    <x v="2"/>
    <x v="1"/>
    <x v="81"/>
    <x v="65"/>
    <x v="2"/>
    <x v="54"/>
  </r>
  <r>
    <x v="195"/>
    <x v="8"/>
    <x v="3"/>
    <x v="0"/>
    <x v="22"/>
    <x v="79"/>
    <x v="36"/>
    <x v="0"/>
  </r>
  <r>
    <x v="196"/>
    <x v="0"/>
    <x v="1"/>
    <x v="3"/>
    <x v="53"/>
    <x v="79"/>
    <x v="73"/>
    <x v="0"/>
  </r>
  <r>
    <x v="197"/>
    <x v="1"/>
    <x v="1"/>
    <x v="4"/>
    <x v="0"/>
    <x v="6"/>
    <x v="2"/>
    <x v="55"/>
  </r>
  <r>
    <x v="198"/>
    <x v="1"/>
    <x v="2"/>
    <x v="2"/>
    <x v="19"/>
    <x v="78"/>
    <x v="59"/>
    <x v="0"/>
  </r>
  <r>
    <x v="199"/>
    <x v="0"/>
    <x v="1"/>
    <x v="6"/>
    <x v="83"/>
    <x v="24"/>
    <x v="89"/>
    <x v="0"/>
  </r>
  <r>
    <x v="200"/>
    <x v="1"/>
    <x v="9"/>
    <x v="2"/>
    <x v="3"/>
    <x v="89"/>
    <x v="77"/>
    <x v="0"/>
  </r>
  <r>
    <x v="201"/>
    <x v="10"/>
    <x v="3"/>
    <x v="3"/>
    <x v="67"/>
    <x v="53"/>
    <x v="22"/>
    <x v="0"/>
  </r>
  <r>
    <x v="202"/>
    <x v="1"/>
    <x v="2"/>
    <x v="1"/>
    <x v="32"/>
    <x v="77"/>
    <x v="90"/>
    <x v="0"/>
  </r>
  <r>
    <x v="203"/>
    <x v="1"/>
    <x v="4"/>
    <x v="3"/>
    <x v="84"/>
    <x v="28"/>
    <x v="74"/>
    <x v="0"/>
  </r>
  <r>
    <x v="204"/>
    <x v="1"/>
    <x v="7"/>
    <x v="0"/>
    <x v="76"/>
    <x v="83"/>
    <x v="55"/>
    <x v="0"/>
  </r>
  <r>
    <x v="205"/>
    <x v="8"/>
    <x v="2"/>
    <x v="6"/>
    <x v="12"/>
    <x v="90"/>
    <x v="18"/>
    <x v="0"/>
  </r>
  <r>
    <x v="206"/>
    <x v="7"/>
    <x v="7"/>
    <x v="3"/>
    <x v="42"/>
    <x v="21"/>
    <x v="75"/>
    <x v="0"/>
  </r>
  <r>
    <x v="207"/>
    <x v="7"/>
    <x v="2"/>
    <x v="2"/>
    <x v="85"/>
    <x v="0"/>
    <x v="91"/>
    <x v="0"/>
  </r>
  <r>
    <x v="208"/>
    <x v="7"/>
    <x v="1"/>
    <x v="1"/>
    <x v="10"/>
    <x v="19"/>
    <x v="92"/>
    <x v="0"/>
  </r>
  <r>
    <x v="209"/>
    <x v="1"/>
    <x v="3"/>
    <x v="0"/>
    <x v="82"/>
    <x v="6"/>
    <x v="2"/>
    <x v="56"/>
  </r>
  <r>
    <x v="210"/>
    <x v="3"/>
    <x v="1"/>
    <x v="2"/>
    <x v="80"/>
    <x v="6"/>
    <x v="2"/>
    <x v="57"/>
  </r>
  <r>
    <x v="211"/>
    <x v="3"/>
    <x v="3"/>
    <x v="3"/>
    <x v="30"/>
    <x v="28"/>
    <x v="17"/>
    <x v="0"/>
  </r>
  <r>
    <x v="212"/>
    <x v="3"/>
    <x v="1"/>
    <x v="5"/>
    <x v="63"/>
    <x v="11"/>
    <x v="93"/>
    <x v="0"/>
  </r>
  <r>
    <x v="213"/>
    <x v="1"/>
    <x v="2"/>
    <x v="6"/>
    <x v="2"/>
    <x v="12"/>
    <x v="94"/>
    <x v="0"/>
  </r>
  <r>
    <x v="214"/>
    <x v="1"/>
    <x v="6"/>
    <x v="3"/>
    <x v="37"/>
    <x v="65"/>
    <x v="2"/>
    <x v="58"/>
  </r>
  <r>
    <x v="215"/>
    <x v="7"/>
    <x v="2"/>
    <x v="2"/>
    <x v="75"/>
    <x v="14"/>
    <x v="27"/>
    <x v="0"/>
  </r>
  <r>
    <x v="216"/>
    <x v="5"/>
    <x v="1"/>
    <x v="3"/>
    <x v="17"/>
    <x v="91"/>
    <x v="67"/>
    <x v="0"/>
  </r>
  <r>
    <x v="217"/>
    <x v="1"/>
    <x v="8"/>
    <x v="1"/>
    <x v="12"/>
    <x v="15"/>
    <x v="2"/>
    <x v="59"/>
  </r>
  <r>
    <x v="218"/>
    <x v="2"/>
    <x v="8"/>
    <x v="4"/>
    <x v="29"/>
    <x v="6"/>
    <x v="2"/>
    <x v="14"/>
  </r>
  <r>
    <x v="219"/>
    <x v="7"/>
    <x v="0"/>
    <x v="2"/>
    <x v="19"/>
    <x v="74"/>
    <x v="49"/>
    <x v="0"/>
  </r>
  <r>
    <x v="220"/>
    <x v="3"/>
    <x v="0"/>
    <x v="2"/>
    <x v="56"/>
    <x v="92"/>
    <x v="35"/>
    <x v="0"/>
  </r>
  <r>
    <x v="221"/>
    <x v="0"/>
    <x v="1"/>
    <x v="3"/>
    <x v="30"/>
    <x v="6"/>
    <x v="2"/>
    <x v="36"/>
  </r>
  <r>
    <x v="222"/>
    <x v="3"/>
    <x v="6"/>
    <x v="4"/>
    <x v="48"/>
    <x v="28"/>
    <x v="92"/>
    <x v="0"/>
  </r>
  <r>
    <x v="223"/>
    <x v="1"/>
    <x v="3"/>
    <x v="6"/>
    <x v="54"/>
    <x v="19"/>
    <x v="95"/>
    <x v="0"/>
  </r>
  <r>
    <x v="224"/>
    <x v="4"/>
    <x v="9"/>
    <x v="2"/>
    <x v="8"/>
    <x v="7"/>
    <x v="15"/>
    <x v="0"/>
  </r>
  <r>
    <x v="225"/>
    <x v="9"/>
    <x v="10"/>
    <x v="2"/>
    <x v="45"/>
    <x v="42"/>
    <x v="90"/>
    <x v="0"/>
  </r>
  <r>
    <x v="226"/>
    <x v="7"/>
    <x v="1"/>
    <x v="1"/>
    <x v="47"/>
    <x v="53"/>
    <x v="12"/>
    <x v="0"/>
  </r>
  <r>
    <x v="227"/>
    <x v="9"/>
    <x v="2"/>
    <x v="3"/>
    <x v="59"/>
    <x v="0"/>
    <x v="57"/>
    <x v="0"/>
  </r>
  <r>
    <x v="228"/>
    <x v="0"/>
    <x v="5"/>
    <x v="0"/>
    <x v="77"/>
    <x v="6"/>
    <x v="2"/>
    <x v="60"/>
  </r>
  <r>
    <x v="229"/>
    <x v="1"/>
    <x v="2"/>
    <x v="1"/>
    <x v="5"/>
    <x v="83"/>
    <x v="55"/>
    <x v="0"/>
  </r>
  <r>
    <x v="230"/>
    <x v="6"/>
    <x v="3"/>
    <x v="2"/>
    <x v="10"/>
    <x v="33"/>
    <x v="4"/>
    <x v="0"/>
  </r>
  <r>
    <x v="231"/>
    <x v="3"/>
    <x v="3"/>
    <x v="2"/>
    <x v="16"/>
    <x v="61"/>
    <x v="52"/>
    <x v="0"/>
  </r>
  <r>
    <x v="232"/>
    <x v="1"/>
    <x v="2"/>
    <x v="0"/>
    <x v="86"/>
    <x v="6"/>
    <x v="2"/>
    <x v="61"/>
  </r>
  <r>
    <x v="233"/>
    <x v="4"/>
    <x v="12"/>
    <x v="3"/>
    <x v="79"/>
    <x v="6"/>
    <x v="2"/>
    <x v="27"/>
  </r>
  <r>
    <x v="234"/>
    <x v="9"/>
    <x v="2"/>
    <x v="1"/>
    <x v="34"/>
    <x v="93"/>
    <x v="96"/>
    <x v="0"/>
  </r>
  <r>
    <x v="235"/>
    <x v="0"/>
    <x v="1"/>
    <x v="2"/>
    <x v="37"/>
    <x v="11"/>
    <x v="71"/>
    <x v="0"/>
  </r>
  <r>
    <x v="236"/>
    <x v="4"/>
    <x v="2"/>
    <x v="0"/>
    <x v="61"/>
    <x v="6"/>
    <x v="2"/>
    <x v="62"/>
  </r>
  <r>
    <x v="237"/>
    <x v="1"/>
    <x v="6"/>
    <x v="4"/>
    <x v="11"/>
    <x v="6"/>
    <x v="2"/>
    <x v="62"/>
  </r>
  <r>
    <x v="238"/>
    <x v="2"/>
    <x v="1"/>
    <x v="6"/>
    <x v="32"/>
    <x v="47"/>
    <x v="11"/>
    <x v="0"/>
  </r>
  <r>
    <x v="239"/>
    <x v="7"/>
    <x v="1"/>
    <x v="5"/>
    <x v="85"/>
    <x v="17"/>
    <x v="81"/>
    <x v="0"/>
  </r>
  <r>
    <x v="240"/>
    <x v="5"/>
    <x v="11"/>
    <x v="3"/>
    <x v="52"/>
    <x v="84"/>
    <x v="87"/>
    <x v="0"/>
  </r>
  <r>
    <x v="241"/>
    <x v="6"/>
    <x v="2"/>
    <x v="1"/>
    <x v="71"/>
    <x v="93"/>
    <x v="96"/>
    <x v="0"/>
  </r>
  <r>
    <x v="242"/>
    <x v="7"/>
    <x v="1"/>
    <x v="2"/>
    <x v="71"/>
    <x v="22"/>
    <x v="11"/>
    <x v="0"/>
  </r>
  <r>
    <x v="243"/>
    <x v="2"/>
    <x v="3"/>
    <x v="2"/>
    <x v="15"/>
    <x v="4"/>
    <x v="5"/>
    <x v="0"/>
  </r>
  <r>
    <x v="244"/>
    <x v="4"/>
    <x v="6"/>
    <x v="1"/>
    <x v="60"/>
    <x v="5"/>
    <x v="30"/>
    <x v="0"/>
  </r>
  <r>
    <x v="245"/>
    <x v="4"/>
    <x v="2"/>
    <x v="1"/>
    <x v="60"/>
    <x v="83"/>
    <x v="55"/>
    <x v="0"/>
  </r>
  <r>
    <x v="246"/>
    <x v="4"/>
    <x v="2"/>
    <x v="2"/>
    <x v="33"/>
    <x v="40"/>
    <x v="97"/>
    <x v="0"/>
  </r>
  <r>
    <x v="247"/>
    <x v="1"/>
    <x v="1"/>
    <x v="6"/>
    <x v="50"/>
    <x v="6"/>
    <x v="2"/>
    <x v="63"/>
  </r>
  <r>
    <x v="248"/>
    <x v="7"/>
    <x v="3"/>
    <x v="5"/>
    <x v="32"/>
    <x v="49"/>
    <x v="45"/>
    <x v="0"/>
  </r>
  <r>
    <x v="249"/>
    <x v="1"/>
    <x v="0"/>
    <x v="2"/>
    <x v="68"/>
    <x v="6"/>
    <x v="2"/>
    <x v="62"/>
  </r>
  <r>
    <x v="250"/>
    <x v="4"/>
    <x v="2"/>
    <x v="0"/>
    <x v="11"/>
    <x v="11"/>
    <x v="98"/>
    <x v="0"/>
  </r>
  <r>
    <x v="251"/>
    <x v="4"/>
    <x v="3"/>
    <x v="0"/>
    <x v="27"/>
    <x v="8"/>
    <x v="30"/>
    <x v="0"/>
  </r>
  <r>
    <x v="252"/>
    <x v="1"/>
    <x v="2"/>
    <x v="3"/>
    <x v="22"/>
    <x v="91"/>
    <x v="99"/>
    <x v="0"/>
  </r>
  <r>
    <x v="253"/>
    <x v="10"/>
    <x v="3"/>
    <x v="3"/>
    <x v="69"/>
    <x v="61"/>
    <x v="81"/>
    <x v="0"/>
  </r>
  <r>
    <x v="254"/>
    <x v="7"/>
    <x v="1"/>
    <x v="2"/>
    <x v="29"/>
    <x v="6"/>
    <x v="2"/>
    <x v="64"/>
  </r>
  <r>
    <x v="255"/>
    <x v="5"/>
    <x v="2"/>
    <x v="1"/>
    <x v="17"/>
    <x v="6"/>
    <x v="2"/>
    <x v="65"/>
  </r>
  <r>
    <x v="256"/>
    <x v="0"/>
    <x v="2"/>
    <x v="6"/>
    <x v="21"/>
    <x v="6"/>
    <x v="2"/>
    <x v="29"/>
  </r>
  <r>
    <x v="257"/>
    <x v="7"/>
    <x v="2"/>
    <x v="5"/>
    <x v="68"/>
    <x v="94"/>
    <x v="87"/>
    <x v="0"/>
  </r>
  <r>
    <x v="258"/>
    <x v="7"/>
    <x v="1"/>
    <x v="2"/>
    <x v="59"/>
    <x v="0"/>
    <x v="70"/>
    <x v="0"/>
  </r>
  <r>
    <x v="259"/>
    <x v="5"/>
    <x v="2"/>
    <x v="2"/>
    <x v="39"/>
    <x v="95"/>
    <x v="54"/>
    <x v="0"/>
  </r>
  <r>
    <x v="260"/>
    <x v="7"/>
    <x v="0"/>
    <x v="6"/>
    <x v="47"/>
    <x v="25"/>
    <x v="12"/>
    <x v="0"/>
  </r>
  <r>
    <x v="261"/>
    <x v="7"/>
    <x v="11"/>
    <x v="6"/>
    <x v="15"/>
    <x v="35"/>
    <x v="17"/>
    <x v="0"/>
  </r>
  <r>
    <x v="262"/>
    <x v="4"/>
    <x v="4"/>
    <x v="6"/>
    <x v="87"/>
    <x v="73"/>
    <x v="74"/>
    <x v="0"/>
  </r>
  <r>
    <x v="263"/>
    <x v="1"/>
    <x v="1"/>
    <x v="2"/>
    <x v="17"/>
    <x v="41"/>
    <x v="1"/>
    <x v="0"/>
  </r>
  <r>
    <x v="264"/>
    <x v="1"/>
    <x v="6"/>
    <x v="1"/>
    <x v="68"/>
    <x v="6"/>
    <x v="2"/>
    <x v="66"/>
  </r>
  <r>
    <x v="265"/>
    <x v="7"/>
    <x v="7"/>
    <x v="3"/>
    <x v="59"/>
    <x v="55"/>
    <x v="70"/>
    <x v="0"/>
  </r>
  <r>
    <x v="266"/>
    <x v="1"/>
    <x v="1"/>
    <x v="0"/>
    <x v="14"/>
    <x v="24"/>
    <x v="12"/>
    <x v="0"/>
  </r>
  <r>
    <x v="267"/>
    <x v="1"/>
    <x v="3"/>
    <x v="2"/>
    <x v="37"/>
    <x v="6"/>
    <x v="2"/>
    <x v="29"/>
  </r>
  <r>
    <x v="268"/>
    <x v="0"/>
    <x v="3"/>
    <x v="6"/>
    <x v="71"/>
    <x v="80"/>
    <x v="20"/>
    <x v="0"/>
  </r>
  <r>
    <x v="269"/>
    <x v="7"/>
    <x v="1"/>
    <x v="2"/>
    <x v="56"/>
    <x v="76"/>
    <x v="54"/>
    <x v="0"/>
  </r>
  <r>
    <x v="270"/>
    <x v="5"/>
    <x v="2"/>
    <x v="6"/>
    <x v="45"/>
    <x v="94"/>
    <x v="94"/>
    <x v="0"/>
  </r>
  <r>
    <x v="271"/>
    <x v="0"/>
    <x v="1"/>
    <x v="1"/>
    <x v="27"/>
    <x v="66"/>
    <x v="7"/>
    <x v="0"/>
  </r>
  <r>
    <x v="272"/>
    <x v="1"/>
    <x v="2"/>
    <x v="3"/>
    <x v="33"/>
    <x v="6"/>
    <x v="2"/>
    <x v="67"/>
  </r>
  <r>
    <x v="273"/>
    <x v="2"/>
    <x v="2"/>
    <x v="3"/>
    <x v="57"/>
    <x v="82"/>
    <x v="53"/>
    <x v="0"/>
  </r>
  <r>
    <x v="274"/>
    <x v="1"/>
    <x v="2"/>
    <x v="4"/>
    <x v="8"/>
    <x v="6"/>
    <x v="2"/>
    <x v="66"/>
  </r>
  <r>
    <x v="275"/>
    <x v="7"/>
    <x v="1"/>
    <x v="6"/>
    <x v="14"/>
    <x v="50"/>
    <x v="10"/>
    <x v="0"/>
  </r>
  <r>
    <x v="276"/>
    <x v="7"/>
    <x v="2"/>
    <x v="2"/>
    <x v="78"/>
    <x v="21"/>
    <x v="95"/>
    <x v="0"/>
  </r>
  <r>
    <x v="277"/>
    <x v="1"/>
    <x v="3"/>
    <x v="4"/>
    <x v="23"/>
    <x v="68"/>
    <x v="83"/>
    <x v="0"/>
  </r>
  <r>
    <x v="278"/>
    <x v="6"/>
    <x v="2"/>
    <x v="1"/>
    <x v="9"/>
    <x v="96"/>
    <x v="100"/>
    <x v="0"/>
  </r>
  <r>
    <x v="279"/>
    <x v="4"/>
    <x v="2"/>
    <x v="3"/>
    <x v="34"/>
    <x v="80"/>
    <x v="101"/>
    <x v="0"/>
  </r>
  <r>
    <x v="280"/>
    <x v="7"/>
    <x v="1"/>
    <x v="2"/>
    <x v="78"/>
    <x v="97"/>
    <x v="33"/>
    <x v="0"/>
  </r>
  <r>
    <x v="281"/>
    <x v="7"/>
    <x v="1"/>
    <x v="2"/>
    <x v="11"/>
    <x v="65"/>
    <x v="77"/>
    <x v="0"/>
  </r>
  <r>
    <x v="282"/>
    <x v="7"/>
    <x v="2"/>
    <x v="2"/>
    <x v="73"/>
    <x v="67"/>
    <x v="73"/>
    <x v="0"/>
  </r>
  <r>
    <x v="283"/>
    <x v="4"/>
    <x v="4"/>
    <x v="2"/>
    <x v="46"/>
    <x v="69"/>
    <x v="74"/>
    <x v="0"/>
  </r>
  <r>
    <x v="284"/>
    <x v="4"/>
    <x v="1"/>
    <x v="2"/>
    <x v="69"/>
    <x v="6"/>
    <x v="2"/>
    <x v="5"/>
  </r>
  <r>
    <x v="285"/>
    <x v="8"/>
    <x v="2"/>
    <x v="2"/>
    <x v="63"/>
    <x v="6"/>
    <x v="2"/>
    <x v="68"/>
  </r>
  <r>
    <x v="286"/>
    <x v="4"/>
    <x v="3"/>
    <x v="2"/>
    <x v="52"/>
    <x v="6"/>
    <x v="2"/>
    <x v="8"/>
  </r>
  <r>
    <x v="287"/>
    <x v="5"/>
    <x v="7"/>
    <x v="2"/>
    <x v="72"/>
    <x v="6"/>
    <x v="2"/>
    <x v="22"/>
  </r>
  <r>
    <x v="288"/>
    <x v="4"/>
    <x v="0"/>
    <x v="3"/>
    <x v="77"/>
    <x v="15"/>
    <x v="2"/>
    <x v="48"/>
  </r>
  <r>
    <x v="289"/>
    <x v="0"/>
    <x v="0"/>
    <x v="4"/>
    <x v="30"/>
    <x v="14"/>
    <x v="75"/>
    <x v="0"/>
  </r>
  <r>
    <x v="290"/>
    <x v="7"/>
    <x v="1"/>
    <x v="0"/>
    <x v="1"/>
    <x v="94"/>
    <x v="11"/>
    <x v="0"/>
  </r>
  <r>
    <x v="291"/>
    <x v="1"/>
    <x v="3"/>
    <x v="2"/>
    <x v="5"/>
    <x v="83"/>
    <x v="59"/>
    <x v="0"/>
  </r>
  <r>
    <x v="292"/>
    <x v="3"/>
    <x v="1"/>
    <x v="6"/>
    <x v="4"/>
    <x v="29"/>
    <x v="10"/>
    <x v="0"/>
  </r>
  <r>
    <x v="293"/>
    <x v="7"/>
    <x v="2"/>
    <x v="2"/>
    <x v="6"/>
    <x v="72"/>
    <x v="39"/>
    <x v="0"/>
  </r>
  <r>
    <x v="294"/>
    <x v="4"/>
    <x v="2"/>
    <x v="3"/>
    <x v="41"/>
    <x v="44"/>
    <x v="20"/>
    <x v="0"/>
  </r>
  <r>
    <x v="295"/>
    <x v="2"/>
    <x v="2"/>
    <x v="4"/>
    <x v="49"/>
    <x v="75"/>
    <x v="84"/>
    <x v="0"/>
  </r>
  <r>
    <x v="296"/>
    <x v="4"/>
    <x v="2"/>
    <x v="1"/>
    <x v="82"/>
    <x v="6"/>
    <x v="2"/>
    <x v="56"/>
  </r>
  <r>
    <x v="297"/>
    <x v="3"/>
    <x v="2"/>
    <x v="3"/>
    <x v="42"/>
    <x v="9"/>
    <x v="2"/>
    <x v="69"/>
  </r>
  <r>
    <x v="298"/>
    <x v="1"/>
    <x v="8"/>
    <x v="3"/>
    <x v="9"/>
    <x v="54"/>
    <x v="62"/>
    <x v="0"/>
  </r>
  <r>
    <x v="299"/>
    <x v="4"/>
    <x v="2"/>
    <x v="2"/>
    <x v="55"/>
    <x v="38"/>
    <x v="72"/>
    <x v="0"/>
  </r>
  <r>
    <x v="300"/>
    <x v="1"/>
    <x v="2"/>
    <x v="1"/>
    <x v="50"/>
    <x v="6"/>
    <x v="2"/>
    <x v="4"/>
  </r>
  <r>
    <x v="301"/>
    <x v="10"/>
    <x v="3"/>
    <x v="2"/>
    <x v="50"/>
    <x v="2"/>
    <x v="57"/>
    <x v="0"/>
  </r>
  <r>
    <x v="302"/>
    <x v="3"/>
    <x v="4"/>
    <x v="6"/>
    <x v="86"/>
    <x v="6"/>
    <x v="2"/>
    <x v="70"/>
  </r>
  <r>
    <x v="303"/>
    <x v="5"/>
    <x v="1"/>
    <x v="0"/>
    <x v="70"/>
    <x v="6"/>
    <x v="2"/>
    <x v="71"/>
  </r>
  <r>
    <x v="304"/>
    <x v="1"/>
    <x v="4"/>
    <x v="4"/>
    <x v="14"/>
    <x v="24"/>
    <x v="71"/>
    <x v="0"/>
  </r>
  <r>
    <x v="305"/>
    <x v="7"/>
    <x v="2"/>
    <x v="1"/>
    <x v="48"/>
    <x v="6"/>
    <x v="2"/>
    <x v="72"/>
  </r>
  <r>
    <x v="306"/>
    <x v="1"/>
    <x v="2"/>
    <x v="4"/>
    <x v="49"/>
    <x v="98"/>
    <x v="87"/>
    <x v="0"/>
  </r>
  <r>
    <x v="307"/>
    <x v="4"/>
    <x v="2"/>
    <x v="3"/>
    <x v="66"/>
    <x v="43"/>
    <x v="102"/>
    <x v="0"/>
  </r>
  <r>
    <x v="308"/>
    <x v="1"/>
    <x v="9"/>
    <x v="1"/>
    <x v="79"/>
    <x v="94"/>
    <x v="90"/>
    <x v="0"/>
  </r>
  <r>
    <x v="309"/>
    <x v="7"/>
    <x v="1"/>
    <x v="6"/>
    <x v="18"/>
    <x v="81"/>
    <x v="39"/>
    <x v="0"/>
  </r>
  <r>
    <x v="310"/>
    <x v="7"/>
    <x v="0"/>
    <x v="1"/>
    <x v="27"/>
    <x v="53"/>
    <x v="12"/>
    <x v="0"/>
  </r>
  <r>
    <x v="311"/>
    <x v="4"/>
    <x v="0"/>
    <x v="4"/>
    <x v="47"/>
    <x v="13"/>
    <x v="73"/>
    <x v="0"/>
  </r>
  <r>
    <x v="312"/>
    <x v="0"/>
    <x v="0"/>
    <x v="2"/>
    <x v="13"/>
    <x v="78"/>
    <x v="14"/>
    <x v="0"/>
  </r>
  <r>
    <x v="313"/>
    <x v="1"/>
    <x v="1"/>
    <x v="1"/>
    <x v="40"/>
    <x v="6"/>
    <x v="2"/>
    <x v="60"/>
  </r>
  <r>
    <x v="314"/>
    <x v="7"/>
    <x v="2"/>
    <x v="2"/>
    <x v="37"/>
    <x v="82"/>
    <x v="58"/>
    <x v="0"/>
  </r>
  <r>
    <x v="315"/>
    <x v="1"/>
    <x v="3"/>
    <x v="4"/>
    <x v="22"/>
    <x v="13"/>
    <x v="23"/>
    <x v="0"/>
  </r>
  <r>
    <x v="316"/>
    <x v="3"/>
    <x v="7"/>
    <x v="6"/>
    <x v="23"/>
    <x v="69"/>
    <x v="75"/>
    <x v="0"/>
  </r>
  <r>
    <x v="317"/>
    <x v="0"/>
    <x v="10"/>
    <x v="4"/>
    <x v="64"/>
    <x v="52"/>
    <x v="23"/>
    <x v="0"/>
  </r>
  <r>
    <x v="318"/>
    <x v="5"/>
    <x v="2"/>
    <x v="3"/>
    <x v="50"/>
    <x v="6"/>
    <x v="2"/>
    <x v="23"/>
  </r>
  <r>
    <x v="319"/>
    <x v="10"/>
    <x v="5"/>
    <x v="6"/>
    <x v="4"/>
    <x v="51"/>
    <x v="14"/>
    <x v="0"/>
  </r>
  <r>
    <x v="320"/>
    <x v="4"/>
    <x v="1"/>
    <x v="1"/>
    <x v="63"/>
    <x v="71"/>
    <x v="2"/>
    <x v="58"/>
  </r>
  <r>
    <x v="321"/>
    <x v="4"/>
    <x v="0"/>
    <x v="3"/>
    <x v="3"/>
    <x v="70"/>
    <x v="67"/>
    <x v="0"/>
  </r>
  <r>
    <x v="322"/>
    <x v="1"/>
    <x v="9"/>
    <x v="0"/>
    <x v="65"/>
    <x v="6"/>
    <x v="2"/>
    <x v="47"/>
  </r>
  <r>
    <x v="323"/>
    <x v="4"/>
    <x v="1"/>
    <x v="3"/>
    <x v="88"/>
    <x v="58"/>
    <x v="91"/>
    <x v="0"/>
  </r>
  <r>
    <x v="324"/>
    <x v="7"/>
    <x v="2"/>
    <x v="2"/>
    <x v="3"/>
    <x v="6"/>
    <x v="2"/>
    <x v="73"/>
  </r>
  <r>
    <x v="325"/>
    <x v="2"/>
    <x v="6"/>
    <x v="4"/>
    <x v="73"/>
    <x v="7"/>
    <x v="28"/>
    <x v="0"/>
  </r>
  <r>
    <x v="326"/>
    <x v="0"/>
    <x v="3"/>
    <x v="3"/>
    <x v="84"/>
    <x v="6"/>
    <x v="2"/>
    <x v="74"/>
  </r>
  <r>
    <x v="327"/>
    <x v="1"/>
    <x v="1"/>
    <x v="2"/>
    <x v="81"/>
    <x v="6"/>
    <x v="2"/>
    <x v="75"/>
  </r>
  <r>
    <x v="328"/>
    <x v="1"/>
    <x v="0"/>
    <x v="2"/>
    <x v="69"/>
    <x v="6"/>
    <x v="2"/>
    <x v="76"/>
  </r>
  <r>
    <x v="329"/>
    <x v="1"/>
    <x v="3"/>
    <x v="2"/>
    <x v="78"/>
    <x v="97"/>
    <x v="75"/>
    <x v="0"/>
  </r>
  <r>
    <x v="330"/>
    <x v="1"/>
    <x v="7"/>
    <x v="2"/>
    <x v="28"/>
    <x v="41"/>
    <x v="98"/>
    <x v="0"/>
  </r>
  <r>
    <x v="331"/>
    <x v="4"/>
    <x v="10"/>
    <x v="0"/>
    <x v="40"/>
    <x v="47"/>
    <x v="90"/>
    <x v="0"/>
  </r>
  <r>
    <x v="332"/>
    <x v="1"/>
    <x v="2"/>
    <x v="2"/>
    <x v="37"/>
    <x v="11"/>
    <x v="77"/>
    <x v="0"/>
  </r>
  <r>
    <x v="333"/>
    <x v="1"/>
    <x v="9"/>
    <x v="4"/>
    <x v="17"/>
    <x v="17"/>
    <x v="87"/>
    <x v="0"/>
  </r>
  <r>
    <x v="334"/>
    <x v="4"/>
    <x v="12"/>
    <x v="2"/>
    <x v="36"/>
    <x v="51"/>
    <x v="5"/>
    <x v="0"/>
  </r>
  <r>
    <x v="335"/>
    <x v="1"/>
    <x v="8"/>
    <x v="6"/>
    <x v="10"/>
    <x v="40"/>
    <x v="27"/>
    <x v="0"/>
  </r>
  <r>
    <x v="336"/>
    <x v="1"/>
    <x v="2"/>
    <x v="4"/>
    <x v="15"/>
    <x v="6"/>
    <x v="2"/>
    <x v="77"/>
  </r>
  <r>
    <x v="337"/>
    <x v="4"/>
    <x v="3"/>
    <x v="1"/>
    <x v="66"/>
    <x v="6"/>
    <x v="2"/>
    <x v="60"/>
  </r>
  <r>
    <x v="338"/>
    <x v="6"/>
    <x v="8"/>
    <x v="6"/>
    <x v="47"/>
    <x v="45"/>
    <x v="65"/>
    <x v="0"/>
  </r>
  <r>
    <x v="339"/>
    <x v="1"/>
    <x v="2"/>
    <x v="2"/>
    <x v="18"/>
    <x v="6"/>
    <x v="2"/>
    <x v="51"/>
  </r>
  <r>
    <x v="340"/>
    <x v="5"/>
    <x v="11"/>
    <x v="2"/>
    <x v="88"/>
    <x v="47"/>
    <x v="84"/>
    <x v="0"/>
  </r>
  <r>
    <x v="341"/>
    <x v="4"/>
    <x v="11"/>
    <x v="3"/>
    <x v="23"/>
    <x v="6"/>
    <x v="2"/>
    <x v="78"/>
  </r>
  <r>
    <x v="342"/>
    <x v="6"/>
    <x v="1"/>
    <x v="4"/>
    <x v="63"/>
    <x v="99"/>
    <x v="63"/>
    <x v="0"/>
  </r>
  <r>
    <x v="343"/>
    <x v="4"/>
    <x v="2"/>
    <x v="2"/>
    <x v="25"/>
    <x v="73"/>
    <x v="103"/>
    <x v="0"/>
  </r>
  <r>
    <x v="344"/>
    <x v="5"/>
    <x v="2"/>
    <x v="0"/>
    <x v="68"/>
    <x v="94"/>
    <x v="50"/>
    <x v="0"/>
  </r>
  <r>
    <x v="345"/>
    <x v="1"/>
    <x v="1"/>
    <x v="6"/>
    <x v="0"/>
    <x v="0"/>
    <x v="70"/>
    <x v="0"/>
  </r>
  <r>
    <x v="346"/>
    <x v="10"/>
    <x v="2"/>
    <x v="5"/>
    <x v="89"/>
    <x v="100"/>
    <x v="104"/>
    <x v="0"/>
  </r>
  <r>
    <x v="347"/>
    <x v="3"/>
    <x v="7"/>
    <x v="1"/>
    <x v="90"/>
    <x v="101"/>
    <x v="105"/>
    <x v="0"/>
  </r>
  <r>
    <x v="348"/>
    <x v="4"/>
    <x v="3"/>
    <x v="2"/>
    <x v="91"/>
    <x v="6"/>
    <x v="2"/>
    <x v="79"/>
  </r>
  <r>
    <x v="349"/>
    <x v="4"/>
    <x v="2"/>
    <x v="4"/>
    <x v="92"/>
    <x v="102"/>
    <x v="106"/>
    <x v="0"/>
  </r>
  <r>
    <x v="350"/>
    <x v="4"/>
    <x v="10"/>
    <x v="1"/>
    <x v="93"/>
    <x v="103"/>
    <x v="107"/>
    <x v="0"/>
  </r>
  <r>
    <x v="351"/>
    <x v="7"/>
    <x v="1"/>
    <x v="3"/>
    <x v="94"/>
    <x v="104"/>
    <x v="108"/>
    <x v="0"/>
  </r>
  <r>
    <x v="352"/>
    <x v="1"/>
    <x v="7"/>
    <x v="2"/>
    <x v="89"/>
    <x v="96"/>
    <x v="104"/>
    <x v="0"/>
  </r>
  <r>
    <x v="353"/>
    <x v="1"/>
    <x v="6"/>
    <x v="2"/>
    <x v="95"/>
    <x v="6"/>
    <x v="2"/>
    <x v="80"/>
  </r>
  <r>
    <x v="354"/>
    <x v="4"/>
    <x v="1"/>
    <x v="6"/>
    <x v="96"/>
    <x v="87"/>
    <x v="78"/>
    <x v="0"/>
  </r>
  <r>
    <x v="355"/>
    <x v="9"/>
    <x v="2"/>
    <x v="0"/>
    <x v="97"/>
    <x v="88"/>
    <x v="109"/>
    <x v="0"/>
  </r>
  <r>
    <x v="356"/>
    <x v="10"/>
    <x v="2"/>
    <x v="1"/>
    <x v="95"/>
    <x v="105"/>
    <x v="110"/>
    <x v="0"/>
  </r>
  <r>
    <x v="357"/>
    <x v="1"/>
    <x v="7"/>
    <x v="2"/>
    <x v="98"/>
    <x v="106"/>
    <x v="111"/>
    <x v="0"/>
  </r>
  <r>
    <x v="358"/>
    <x v="1"/>
    <x v="4"/>
    <x v="2"/>
    <x v="91"/>
    <x v="107"/>
    <x v="21"/>
    <x v="0"/>
  </r>
  <r>
    <x v="359"/>
    <x v="0"/>
    <x v="4"/>
    <x v="2"/>
    <x v="99"/>
    <x v="108"/>
    <x v="112"/>
    <x v="0"/>
  </r>
  <r>
    <x v="360"/>
    <x v="4"/>
    <x v="2"/>
    <x v="3"/>
    <x v="100"/>
    <x v="9"/>
    <x v="95"/>
    <x v="0"/>
  </r>
  <r>
    <x v="361"/>
    <x v="0"/>
    <x v="2"/>
    <x v="6"/>
    <x v="101"/>
    <x v="6"/>
    <x v="2"/>
    <x v="81"/>
  </r>
  <r>
    <x v="362"/>
    <x v="1"/>
    <x v="2"/>
    <x v="6"/>
    <x v="102"/>
    <x v="109"/>
    <x v="113"/>
    <x v="0"/>
  </r>
  <r>
    <x v="363"/>
    <x v="1"/>
    <x v="1"/>
    <x v="5"/>
    <x v="91"/>
    <x v="6"/>
    <x v="2"/>
    <x v="82"/>
  </r>
  <r>
    <x v="364"/>
    <x v="6"/>
    <x v="7"/>
    <x v="3"/>
    <x v="103"/>
    <x v="110"/>
    <x v="114"/>
    <x v="0"/>
  </r>
  <r>
    <x v="365"/>
    <x v="3"/>
    <x v="6"/>
    <x v="1"/>
    <x v="104"/>
    <x v="106"/>
    <x v="85"/>
    <x v="0"/>
  </r>
  <r>
    <x v="366"/>
    <x v="4"/>
    <x v="2"/>
    <x v="3"/>
    <x v="105"/>
    <x v="111"/>
    <x v="100"/>
    <x v="0"/>
  </r>
  <r>
    <x v="367"/>
    <x v="9"/>
    <x v="2"/>
    <x v="0"/>
    <x v="106"/>
    <x v="109"/>
    <x v="115"/>
    <x v="0"/>
  </r>
  <r>
    <x v="368"/>
    <x v="4"/>
    <x v="7"/>
    <x v="2"/>
    <x v="104"/>
    <x v="112"/>
    <x v="107"/>
    <x v="0"/>
  </r>
  <r>
    <x v="369"/>
    <x v="1"/>
    <x v="3"/>
    <x v="4"/>
    <x v="91"/>
    <x v="107"/>
    <x v="95"/>
    <x v="0"/>
  </r>
  <r>
    <x v="370"/>
    <x v="1"/>
    <x v="1"/>
    <x v="1"/>
    <x v="103"/>
    <x v="113"/>
    <x v="114"/>
    <x v="0"/>
  </r>
  <r>
    <x v="371"/>
    <x v="4"/>
    <x v="1"/>
    <x v="3"/>
    <x v="107"/>
    <x v="6"/>
    <x v="2"/>
    <x v="43"/>
  </r>
  <r>
    <x v="372"/>
    <x v="8"/>
    <x v="3"/>
    <x v="3"/>
    <x v="108"/>
    <x v="59"/>
    <x v="88"/>
    <x v="0"/>
  </r>
  <r>
    <x v="373"/>
    <x v="9"/>
    <x v="1"/>
    <x v="2"/>
    <x v="109"/>
    <x v="106"/>
    <x v="109"/>
    <x v="0"/>
  </r>
  <r>
    <x v="374"/>
    <x v="4"/>
    <x v="3"/>
    <x v="2"/>
    <x v="108"/>
    <x v="76"/>
    <x v="35"/>
    <x v="0"/>
  </r>
  <r>
    <x v="375"/>
    <x v="4"/>
    <x v="3"/>
    <x v="2"/>
    <x v="110"/>
    <x v="105"/>
    <x v="110"/>
    <x v="0"/>
  </r>
  <r>
    <x v="376"/>
    <x v="4"/>
    <x v="1"/>
    <x v="1"/>
    <x v="111"/>
    <x v="114"/>
    <x v="68"/>
    <x v="0"/>
  </r>
  <r>
    <x v="377"/>
    <x v="1"/>
    <x v="2"/>
    <x v="2"/>
    <x v="112"/>
    <x v="115"/>
    <x v="116"/>
    <x v="0"/>
  </r>
  <r>
    <x v="378"/>
    <x v="7"/>
    <x v="1"/>
    <x v="2"/>
    <x v="94"/>
    <x v="104"/>
    <x v="106"/>
    <x v="0"/>
  </r>
  <r>
    <x v="379"/>
    <x v="4"/>
    <x v="1"/>
    <x v="2"/>
    <x v="90"/>
    <x v="6"/>
    <x v="2"/>
    <x v="83"/>
  </r>
  <r>
    <x v="380"/>
    <x v="1"/>
    <x v="10"/>
    <x v="3"/>
    <x v="99"/>
    <x v="115"/>
    <x v="46"/>
    <x v="0"/>
  </r>
  <r>
    <x v="381"/>
    <x v="4"/>
    <x v="3"/>
    <x v="1"/>
    <x v="99"/>
    <x v="116"/>
    <x v="117"/>
    <x v="0"/>
  </r>
  <r>
    <x v="382"/>
    <x v="4"/>
    <x v="2"/>
    <x v="4"/>
    <x v="113"/>
    <x v="117"/>
    <x v="85"/>
    <x v="0"/>
  </r>
  <r>
    <x v="383"/>
    <x v="3"/>
    <x v="0"/>
    <x v="3"/>
    <x v="104"/>
    <x v="118"/>
    <x v="118"/>
    <x v="0"/>
  </r>
  <r>
    <x v="384"/>
    <x v="1"/>
    <x v="3"/>
    <x v="3"/>
    <x v="93"/>
    <x v="119"/>
    <x v="119"/>
    <x v="0"/>
  </r>
  <r>
    <x v="69"/>
    <x v="1"/>
    <x v="1"/>
    <x v="3"/>
    <x v="114"/>
    <x v="120"/>
    <x v="85"/>
    <x v="0"/>
  </r>
  <r>
    <x v="70"/>
    <x v="7"/>
    <x v="1"/>
    <x v="2"/>
    <x v="92"/>
    <x v="6"/>
    <x v="2"/>
    <x v="11"/>
  </r>
  <r>
    <x v="385"/>
    <x v="1"/>
    <x v="2"/>
    <x v="2"/>
    <x v="110"/>
    <x v="121"/>
    <x v="120"/>
    <x v="0"/>
  </r>
  <r>
    <x v="71"/>
    <x v="4"/>
    <x v="1"/>
    <x v="1"/>
    <x v="115"/>
    <x v="56"/>
    <x v="121"/>
    <x v="0"/>
  </r>
  <r>
    <x v="386"/>
    <x v="4"/>
    <x v="2"/>
    <x v="6"/>
    <x v="116"/>
    <x v="89"/>
    <x v="122"/>
    <x v="0"/>
  </r>
  <r>
    <x v="72"/>
    <x v="4"/>
    <x v="5"/>
    <x v="2"/>
    <x v="104"/>
    <x v="121"/>
    <x v="120"/>
    <x v="0"/>
  </r>
  <r>
    <x v="387"/>
    <x v="2"/>
    <x v="7"/>
    <x v="1"/>
    <x v="117"/>
    <x v="115"/>
    <x v="123"/>
    <x v="0"/>
  </r>
  <r>
    <x v="388"/>
    <x v="4"/>
    <x v="1"/>
    <x v="3"/>
    <x v="118"/>
    <x v="6"/>
    <x v="2"/>
    <x v="9"/>
  </r>
  <r>
    <x v="73"/>
    <x v="1"/>
    <x v="2"/>
    <x v="1"/>
    <x v="119"/>
    <x v="6"/>
    <x v="2"/>
    <x v="20"/>
  </r>
  <r>
    <x v="74"/>
    <x v="1"/>
    <x v="4"/>
    <x v="2"/>
    <x v="120"/>
    <x v="120"/>
    <x v="114"/>
    <x v="0"/>
  </r>
  <r>
    <x v="389"/>
    <x v="1"/>
    <x v="1"/>
    <x v="0"/>
    <x v="121"/>
    <x v="6"/>
    <x v="2"/>
    <x v="84"/>
  </r>
  <r>
    <x v="76"/>
    <x v="0"/>
    <x v="1"/>
    <x v="2"/>
    <x v="122"/>
    <x v="6"/>
    <x v="2"/>
    <x v="7"/>
  </r>
  <r>
    <x v="77"/>
    <x v="4"/>
    <x v="1"/>
    <x v="3"/>
    <x v="123"/>
    <x v="110"/>
    <x v="124"/>
    <x v="0"/>
  </r>
  <r>
    <x v="390"/>
    <x v="1"/>
    <x v="2"/>
    <x v="2"/>
    <x v="118"/>
    <x v="122"/>
    <x v="21"/>
    <x v="0"/>
  </r>
  <r>
    <x v="79"/>
    <x v="4"/>
    <x v="1"/>
    <x v="1"/>
    <x v="118"/>
    <x v="96"/>
    <x v="100"/>
    <x v="0"/>
  </r>
  <r>
    <x v="80"/>
    <x v="1"/>
    <x v="4"/>
    <x v="6"/>
    <x v="98"/>
    <x v="123"/>
    <x v="113"/>
    <x v="0"/>
  </r>
  <r>
    <x v="81"/>
    <x v="4"/>
    <x v="3"/>
    <x v="6"/>
    <x v="112"/>
    <x v="6"/>
    <x v="2"/>
    <x v="85"/>
  </r>
  <r>
    <x v="82"/>
    <x v="1"/>
    <x v="8"/>
    <x v="1"/>
    <x v="124"/>
    <x v="6"/>
    <x v="2"/>
    <x v="86"/>
  </r>
  <r>
    <x v="382"/>
    <x v="0"/>
    <x v="1"/>
    <x v="2"/>
    <x v="125"/>
    <x v="23"/>
    <x v="79"/>
    <x v="0"/>
  </r>
  <r>
    <x v="51"/>
    <x v="1"/>
    <x v="3"/>
    <x v="1"/>
    <x v="120"/>
    <x v="105"/>
    <x v="106"/>
    <x v="0"/>
  </r>
  <r>
    <x v="383"/>
    <x v="4"/>
    <x v="3"/>
    <x v="1"/>
    <x v="107"/>
    <x v="124"/>
    <x v="125"/>
    <x v="0"/>
  </r>
  <r>
    <x v="384"/>
    <x v="7"/>
    <x v="10"/>
    <x v="2"/>
    <x v="126"/>
    <x v="125"/>
    <x v="125"/>
    <x v="0"/>
  </r>
  <r>
    <x v="54"/>
    <x v="1"/>
    <x v="1"/>
    <x v="6"/>
    <x v="101"/>
    <x v="122"/>
    <x v="126"/>
    <x v="0"/>
  </r>
  <r>
    <x v="55"/>
    <x v="1"/>
    <x v="8"/>
    <x v="2"/>
    <x v="127"/>
    <x v="6"/>
    <x v="2"/>
    <x v="87"/>
  </r>
  <r>
    <x v="386"/>
    <x v="5"/>
    <x v="2"/>
    <x v="3"/>
    <x v="105"/>
    <x v="98"/>
    <x v="54"/>
    <x v="0"/>
  </r>
  <r>
    <x v="63"/>
    <x v="6"/>
    <x v="1"/>
    <x v="2"/>
    <x v="128"/>
    <x v="120"/>
    <x v="85"/>
    <x v="0"/>
  </r>
  <r>
    <x v="387"/>
    <x v="10"/>
    <x v="11"/>
    <x v="6"/>
    <x v="113"/>
    <x v="126"/>
    <x v="127"/>
    <x v="0"/>
  </r>
  <r>
    <x v="388"/>
    <x v="8"/>
    <x v="2"/>
    <x v="0"/>
    <x v="129"/>
    <x v="127"/>
    <x v="119"/>
    <x v="0"/>
  </r>
  <r>
    <x v="391"/>
    <x v="5"/>
    <x v="2"/>
    <x v="1"/>
    <x v="124"/>
    <x v="6"/>
    <x v="2"/>
    <x v="78"/>
  </r>
  <r>
    <x v="65"/>
    <x v="1"/>
    <x v="8"/>
    <x v="3"/>
    <x v="107"/>
    <x v="124"/>
    <x v="128"/>
    <x v="0"/>
  </r>
  <r>
    <x v="392"/>
    <x v="4"/>
    <x v="0"/>
    <x v="4"/>
    <x v="105"/>
    <x v="6"/>
    <x v="2"/>
    <x v="87"/>
  </r>
  <r>
    <x v="393"/>
    <x v="6"/>
    <x v="1"/>
    <x v="3"/>
    <x v="130"/>
    <x v="6"/>
    <x v="2"/>
    <x v="15"/>
  </r>
  <r>
    <x v="390"/>
    <x v="7"/>
    <x v="1"/>
    <x v="2"/>
    <x v="128"/>
    <x v="120"/>
    <x v="21"/>
    <x v="0"/>
  </r>
  <r>
    <x v="68"/>
    <x v="0"/>
    <x v="4"/>
    <x v="6"/>
    <x v="123"/>
    <x v="126"/>
    <x v="78"/>
    <x v="0"/>
  </r>
  <r>
    <x v="394"/>
    <x v="5"/>
    <x v="1"/>
    <x v="0"/>
    <x v="108"/>
    <x v="59"/>
    <x v="54"/>
    <x v="0"/>
  </r>
  <r>
    <x v="118"/>
    <x v="4"/>
    <x v="8"/>
    <x v="2"/>
    <x v="131"/>
    <x v="109"/>
    <x v="129"/>
    <x v="0"/>
  </r>
  <r>
    <x v="104"/>
    <x v="4"/>
    <x v="3"/>
    <x v="4"/>
    <x v="105"/>
    <x v="98"/>
    <x v="130"/>
    <x v="0"/>
  </r>
  <r>
    <x v="119"/>
    <x v="4"/>
    <x v="4"/>
    <x v="6"/>
    <x v="104"/>
    <x v="121"/>
    <x v="131"/>
    <x v="0"/>
  </r>
  <r>
    <x v="121"/>
    <x v="5"/>
    <x v="3"/>
    <x v="6"/>
    <x v="99"/>
    <x v="6"/>
    <x v="2"/>
    <x v="88"/>
  </r>
  <r>
    <x v="122"/>
    <x v="1"/>
    <x v="6"/>
    <x v="2"/>
    <x v="99"/>
    <x v="128"/>
    <x v="132"/>
    <x v="0"/>
  </r>
  <r>
    <x v="123"/>
    <x v="0"/>
    <x v="7"/>
    <x v="3"/>
    <x v="91"/>
    <x v="6"/>
    <x v="2"/>
    <x v="89"/>
  </r>
  <r>
    <x v="107"/>
    <x v="5"/>
    <x v="2"/>
    <x v="6"/>
    <x v="131"/>
    <x v="6"/>
    <x v="2"/>
    <x v="20"/>
  </r>
  <r>
    <x v="108"/>
    <x v="1"/>
    <x v="3"/>
    <x v="1"/>
    <x v="123"/>
    <x v="129"/>
    <x v="133"/>
    <x v="0"/>
  </r>
  <r>
    <x v="109"/>
    <x v="10"/>
    <x v="2"/>
    <x v="3"/>
    <x v="118"/>
    <x v="100"/>
    <x v="44"/>
    <x v="0"/>
  </r>
  <r>
    <x v="124"/>
    <x v="5"/>
    <x v="5"/>
    <x v="2"/>
    <x v="91"/>
    <x v="111"/>
    <x v="44"/>
    <x v="0"/>
  </r>
  <r>
    <x v="110"/>
    <x v="7"/>
    <x v="0"/>
    <x v="2"/>
    <x v="126"/>
    <x v="130"/>
    <x v="134"/>
    <x v="0"/>
  </r>
  <r>
    <x v="111"/>
    <x v="3"/>
    <x v="2"/>
    <x v="2"/>
    <x v="132"/>
    <x v="124"/>
    <x v="135"/>
    <x v="0"/>
  </r>
  <r>
    <x v="113"/>
    <x v="1"/>
    <x v="1"/>
    <x v="4"/>
    <x v="114"/>
    <x v="120"/>
    <x v="78"/>
    <x v="0"/>
  </r>
  <r>
    <x v="395"/>
    <x v="1"/>
    <x v="7"/>
    <x v="0"/>
    <x v="132"/>
    <x v="104"/>
    <x v="129"/>
    <x v="0"/>
  </r>
  <r>
    <x v="114"/>
    <x v="10"/>
    <x v="5"/>
    <x v="1"/>
    <x v="115"/>
    <x v="108"/>
    <x v="136"/>
    <x v="0"/>
  </r>
  <r>
    <x v="126"/>
    <x v="4"/>
    <x v="6"/>
    <x v="4"/>
    <x v="97"/>
    <x v="131"/>
    <x v="86"/>
    <x v="0"/>
  </r>
  <r>
    <x v="115"/>
    <x v="7"/>
    <x v="5"/>
    <x v="2"/>
    <x v="133"/>
    <x v="125"/>
    <x v="110"/>
    <x v="0"/>
  </r>
  <r>
    <x v="396"/>
    <x v="4"/>
    <x v="3"/>
    <x v="2"/>
    <x v="110"/>
    <x v="118"/>
    <x v="78"/>
    <x v="0"/>
  </r>
  <r>
    <x v="116"/>
    <x v="1"/>
    <x v="3"/>
    <x v="4"/>
    <x v="101"/>
    <x v="6"/>
    <x v="2"/>
    <x v="90"/>
  </r>
  <r>
    <x v="117"/>
    <x v="1"/>
    <x v="4"/>
    <x v="2"/>
    <x v="109"/>
    <x v="6"/>
    <x v="2"/>
    <x v="91"/>
  </r>
  <r>
    <x v="84"/>
    <x v="5"/>
    <x v="1"/>
    <x v="0"/>
    <x v="134"/>
    <x v="132"/>
    <x v="114"/>
    <x v="0"/>
  </r>
  <r>
    <x v="118"/>
    <x v="1"/>
    <x v="1"/>
    <x v="1"/>
    <x v="130"/>
    <x v="127"/>
    <x v="129"/>
    <x v="0"/>
  </r>
  <r>
    <x v="86"/>
    <x v="7"/>
    <x v="0"/>
    <x v="1"/>
    <x v="134"/>
    <x v="120"/>
    <x v="137"/>
    <x v="0"/>
  </r>
  <r>
    <x v="397"/>
    <x v="7"/>
    <x v="2"/>
    <x v="1"/>
    <x v="100"/>
    <x v="54"/>
    <x v="31"/>
    <x v="0"/>
  </r>
  <r>
    <x v="119"/>
    <x v="4"/>
    <x v="1"/>
    <x v="6"/>
    <x v="98"/>
    <x v="106"/>
    <x v="78"/>
    <x v="0"/>
  </r>
  <r>
    <x v="120"/>
    <x v="2"/>
    <x v="3"/>
    <x v="0"/>
    <x v="90"/>
    <x v="6"/>
    <x v="2"/>
    <x v="20"/>
  </r>
  <r>
    <x v="121"/>
    <x v="8"/>
    <x v="5"/>
    <x v="2"/>
    <x v="105"/>
    <x v="6"/>
    <x v="2"/>
    <x v="92"/>
  </r>
  <r>
    <x v="122"/>
    <x v="7"/>
    <x v="0"/>
    <x v="2"/>
    <x v="135"/>
    <x v="6"/>
    <x v="2"/>
    <x v="67"/>
  </r>
  <r>
    <x v="91"/>
    <x v="1"/>
    <x v="2"/>
    <x v="0"/>
    <x v="132"/>
    <x v="6"/>
    <x v="2"/>
    <x v="93"/>
  </r>
  <r>
    <x v="93"/>
    <x v="7"/>
    <x v="11"/>
    <x v="2"/>
    <x v="109"/>
    <x v="6"/>
    <x v="2"/>
    <x v="5"/>
  </r>
  <r>
    <x v="96"/>
    <x v="1"/>
    <x v="4"/>
    <x v="0"/>
    <x v="102"/>
    <x v="109"/>
    <x v="138"/>
    <x v="0"/>
  </r>
  <r>
    <x v="395"/>
    <x v="4"/>
    <x v="9"/>
    <x v="3"/>
    <x v="114"/>
    <x v="113"/>
    <x v="130"/>
    <x v="0"/>
  </r>
  <r>
    <x v="125"/>
    <x v="1"/>
    <x v="2"/>
    <x v="4"/>
    <x v="91"/>
    <x v="6"/>
    <x v="2"/>
    <x v="94"/>
  </r>
  <r>
    <x v="100"/>
    <x v="1"/>
    <x v="8"/>
    <x v="2"/>
    <x v="136"/>
    <x v="105"/>
    <x v="131"/>
    <x v="0"/>
  </r>
  <r>
    <x v="126"/>
    <x v="1"/>
    <x v="1"/>
    <x v="6"/>
    <x v="89"/>
    <x v="59"/>
    <x v="100"/>
    <x v="0"/>
  </r>
  <r>
    <x v="398"/>
    <x v="9"/>
    <x v="8"/>
    <x v="4"/>
    <x v="92"/>
    <x v="89"/>
    <x v="2"/>
    <x v="95"/>
  </r>
  <r>
    <x v="127"/>
    <x v="7"/>
    <x v="2"/>
    <x v="0"/>
    <x v="95"/>
    <x v="6"/>
    <x v="2"/>
    <x v="96"/>
  </r>
  <r>
    <x v="84"/>
    <x v="1"/>
    <x v="3"/>
    <x v="5"/>
    <x v="137"/>
    <x v="6"/>
    <x v="2"/>
    <x v="37"/>
  </r>
  <r>
    <x v="86"/>
    <x v="4"/>
    <x v="6"/>
    <x v="2"/>
    <x v="119"/>
    <x v="6"/>
    <x v="2"/>
    <x v="96"/>
  </r>
  <r>
    <x v="399"/>
    <x v="4"/>
    <x v="2"/>
    <x v="3"/>
    <x v="138"/>
    <x v="87"/>
    <x v="139"/>
    <x v="0"/>
  </r>
  <r>
    <x v="92"/>
    <x v="7"/>
    <x v="7"/>
    <x v="6"/>
    <x v="91"/>
    <x v="6"/>
    <x v="2"/>
    <x v="57"/>
  </r>
  <r>
    <x v="110"/>
    <x v="1"/>
    <x v="1"/>
    <x v="1"/>
    <x v="98"/>
    <x v="118"/>
    <x v="2"/>
    <x v="97"/>
  </r>
  <r>
    <x v="395"/>
    <x v="7"/>
    <x v="9"/>
    <x v="0"/>
    <x v="113"/>
    <x v="111"/>
    <x v="140"/>
    <x v="0"/>
  </r>
  <r>
    <x v="98"/>
    <x v="9"/>
    <x v="2"/>
    <x v="2"/>
    <x v="98"/>
    <x v="133"/>
    <x v="141"/>
    <x v="0"/>
  </r>
  <r>
    <x v="115"/>
    <x v="0"/>
    <x v="2"/>
    <x v="2"/>
    <x v="100"/>
    <x v="54"/>
    <x v="9"/>
    <x v="0"/>
  </r>
  <r>
    <x v="398"/>
    <x v="1"/>
    <x v="1"/>
    <x v="3"/>
    <x v="139"/>
    <x v="6"/>
    <x v="2"/>
    <x v="33"/>
  </r>
  <r>
    <x v="396"/>
    <x v="0"/>
    <x v="1"/>
    <x v="2"/>
    <x v="91"/>
    <x v="129"/>
    <x v="134"/>
    <x v="0"/>
  </r>
  <r>
    <x v="116"/>
    <x v="7"/>
    <x v="2"/>
    <x v="1"/>
    <x v="140"/>
    <x v="109"/>
    <x v="132"/>
    <x v="0"/>
  </r>
  <r>
    <x v="152"/>
    <x v="7"/>
    <x v="0"/>
    <x v="6"/>
    <x v="141"/>
    <x v="6"/>
    <x v="2"/>
    <x v="98"/>
  </r>
  <r>
    <x v="400"/>
    <x v="1"/>
    <x v="3"/>
    <x v="2"/>
    <x v="130"/>
    <x v="125"/>
    <x v="118"/>
    <x v="0"/>
  </r>
  <r>
    <x v="401"/>
    <x v="0"/>
    <x v="2"/>
    <x v="5"/>
    <x v="106"/>
    <x v="6"/>
    <x v="2"/>
    <x v="99"/>
  </r>
  <r>
    <x v="153"/>
    <x v="1"/>
    <x v="1"/>
    <x v="4"/>
    <x v="117"/>
    <x v="56"/>
    <x v="136"/>
    <x v="0"/>
  </r>
  <r>
    <x v="155"/>
    <x v="1"/>
    <x v="2"/>
    <x v="0"/>
    <x v="127"/>
    <x v="106"/>
    <x v="85"/>
    <x v="0"/>
  </r>
  <r>
    <x v="402"/>
    <x v="0"/>
    <x v="3"/>
    <x v="6"/>
    <x v="95"/>
    <x v="121"/>
    <x v="110"/>
    <x v="0"/>
  </r>
  <r>
    <x v="403"/>
    <x v="1"/>
    <x v="2"/>
    <x v="3"/>
    <x v="133"/>
    <x v="127"/>
    <x v="122"/>
    <x v="0"/>
  </r>
  <r>
    <x v="156"/>
    <x v="7"/>
    <x v="0"/>
    <x v="2"/>
    <x v="124"/>
    <x v="6"/>
    <x v="2"/>
    <x v="100"/>
  </r>
  <r>
    <x v="404"/>
    <x v="1"/>
    <x v="1"/>
    <x v="1"/>
    <x v="142"/>
    <x v="134"/>
    <x v="122"/>
    <x v="0"/>
  </r>
  <r>
    <x v="158"/>
    <x v="1"/>
    <x v="2"/>
    <x v="6"/>
    <x v="143"/>
    <x v="128"/>
    <x v="121"/>
    <x v="0"/>
  </r>
  <r>
    <x v="159"/>
    <x v="1"/>
    <x v="0"/>
    <x v="6"/>
    <x v="114"/>
    <x v="6"/>
    <x v="2"/>
    <x v="21"/>
  </r>
  <r>
    <x v="405"/>
    <x v="2"/>
    <x v="8"/>
    <x v="6"/>
    <x v="144"/>
    <x v="6"/>
    <x v="2"/>
    <x v="15"/>
  </r>
  <r>
    <x v="160"/>
    <x v="6"/>
    <x v="5"/>
    <x v="3"/>
    <x v="109"/>
    <x v="135"/>
    <x v="109"/>
    <x v="0"/>
  </r>
  <r>
    <x v="161"/>
    <x v="4"/>
    <x v="8"/>
    <x v="0"/>
    <x v="145"/>
    <x v="136"/>
    <x v="115"/>
    <x v="0"/>
  </r>
  <r>
    <x v="406"/>
    <x v="8"/>
    <x v="2"/>
    <x v="2"/>
    <x v="139"/>
    <x v="103"/>
    <x v="142"/>
    <x v="0"/>
  </r>
  <r>
    <x v="163"/>
    <x v="1"/>
    <x v="9"/>
    <x v="1"/>
    <x v="95"/>
    <x v="6"/>
    <x v="2"/>
    <x v="79"/>
  </r>
  <r>
    <x v="407"/>
    <x v="5"/>
    <x v="1"/>
    <x v="1"/>
    <x v="124"/>
    <x v="114"/>
    <x v="104"/>
    <x v="0"/>
  </r>
  <r>
    <x v="400"/>
    <x v="7"/>
    <x v="1"/>
    <x v="2"/>
    <x v="121"/>
    <x v="130"/>
    <x v="143"/>
    <x v="0"/>
  </r>
  <r>
    <x v="403"/>
    <x v="1"/>
    <x v="1"/>
    <x v="6"/>
    <x v="128"/>
    <x v="137"/>
    <x v="134"/>
    <x v="0"/>
  </r>
  <r>
    <x v="404"/>
    <x v="5"/>
    <x v="5"/>
    <x v="4"/>
    <x v="129"/>
    <x v="134"/>
    <x v="132"/>
    <x v="0"/>
  </r>
  <r>
    <x v="408"/>
    <x v="4"/>
    <x v="2"/>
    <x v="5"/>
    <x v="100"/>
    <x v="9"/>
    <x v="104"/>
    <x v="0"/>
  </r>
  <r>
    <x v="406"/>
    <x v="1"/>
    <x v="2"/>
    <x v="4"/>
    <x v="106"/>
    <x v="6"/>
    <x v="2"/>
    <x v="101"/>
  </r>
  <r>
    <x v="409"/>
    <x v="3"/>
    <x v="4"/>
    <x v="2"/>
    <x v="126"/>
    <x v="123"/>
    <x v="144"/>
    <x v="0"/>
  </r>
  <r>
    <x v="138"/>
    <x v="1"/>
    <x v="2"/>
    <x v="2"/>
    <x v="110"/>
    <x v="118"/>
    <x v="119"/>
    <x v="0"/>
  </r>
  <r>
    <x v="140"/>
    <x v="7"/>
    <x v="1"/>
    <x v="1"/>
    <x v="137"/>
    <x v="15"/>
    <x v="2"/>
    <x v="11"/>
  </r>
  <r>
    <x v="410"/>
    <x v="4"/>
    <x v="1"/>
    <x v="2"/>
    <x v="133"/>
    <x v="6"/>
    <x v="2"/>
    <x v="32"/>
  </r>
  <r>
    <x v="144"/>
    <x v="1"/>
    <x v="11"/>
    <x v="2"/>
    <x v="95"/>
    <x v="6"/>
    <x v="2"/>
    <x v="40"/>
  </r>
  <r>
    <x v="407"/>
    <x v="0"/>
    <x v="7"/>
    <x v="5"/>
    <x v="123"/>
    <x v="6"/>
    <x v="2"/>
    <x v="11"/>
  </r>
  <r>
    <x v="411"/>
    <x v="7"/>
    <x v="8"/>
    <x v="2"/>
    <x v="128"/>
    <x v="135"/>
    <x v="144"/>
    <x v="0"/>
  </r>
  <r>
    <x v="412"/>
    <x v="1"/>
    <x v="7"/>
    <x v="6"/>
    <x v="96"/>
    <x v="6"/>
    <x v="2"/>
    <x v="86"/>
  </r>
  <r>
    <x v="413"/>
    <x v="1"/>
    <x v="2"/>
    <x v="4"/>
    <x v="108"/>
    <x v="6"/>
    <x v="2"/>
    <x v="26"/>
  </r>
  <r>
    <x v="414"/>
    <x v="1"/>
    <x v="11"/>
    <x v="6"/>
    <x v="140"/>
    <x v="6"/>
    <x v="2"/>
    <x v="102"/>
  </r>
  <r>
    <x v="415"/>
    <x v="1"/>
    <x v="2"/>
    <x v="2"/>
    <x v="119"/>
    <x v="137"/>
    <x v="109"/>
    <x v="0"/>
  </r>
  <r>
    <x v="416"/>
    <x v="5"/>
    <x v="3"/>
    <x v="1"/>
    <x v="120"/>
    <x v="6"/>
    <x v="2"/>
    <x v="103"/>
  </r>
  <r>
    <x v="417"/>
    <x v="8"/>
    <x v="7"/>
    <x v="6"/>
    <x v="104"/>
    <x v="130"/>
    <x v="118"/>
    <x v="0"/>
  </r>
  <r>
    <x v="418"/>
    <x v="1"/>
    <x v="4"/>
    <x v="6"/>
    <x v="132"/>
    <x v="104"/>
    <x v="119"/>
    <x v="0"/>
  </r>
  <r>
    <x v="419"/>
    <x v="0"/>
    <x v="2"/>
    <x v="6"/>
    <x v="118"/>
    <x v="107"/>
    <x v="145"/>
    <x v="0"/>
  </r>
  <r>
    <x v="420"/>
    <x v="4"/>
    <x v="2"/>
    <x v="3"/>
    <x v="123"/>
    <x v="129"/>
    <x v="104"/>
    <x v="0"/>
  </r>
  <r>
    <x v="421"/>
    <x v="7"/>
    <x v="3"/>
    <x v="2"/>
    <x v="91"/>
    <x v="6"/>
    <x v="2"/>
    <x v="104"/>
  </r>
  <r>
    <x v="422"/>
    <x v="4"/>
    <x v="6"/>
    <x v="2"/>
    <x v="135"/>
    <x v="138"/>
    <x v="116"/>
    <x v="0"/>
  </r>
  <r>
    <x v="423"/>
    <x v="4"/>
    <x v="9"/>
    <x v="5"/>
    <x v="145"/>
    <x v="139"/>
    <x v="146"/>
    <x v="0"/>
  </r>
  <r>
    <x v="424"/>
    <x v="5"/>
    <x v="2"/>
    <x v="3"/>
    <x v="146"/>
    <x v="126"/>
    <x v="100"/>
    <x v="0"/>
  </r>
  <r>
    <x v="425"/>
    <x v="2"/>
    <x v="2"/>
    <x v="4"/>
    <x v="128"/>
    <x v="120"/>
    <x v="134"/>
    <x v="0"/>
  </r>
  <r>
    <x v="426"/>
    <x v="10"/>
    <x v="3"/>
    <x v="2"/>
    <x v="109"/>
    <x v="106"/>
    <x v="118"/>
    <x v="0"/>
  </r>
  <r>
    <x v="427"/>
    <x v="1"/>
    <x v="3"/>
    <x v="4"/>
    <x v="145"/>
    <x v="6"/>
    <x v="2"/>
    <x v="6"/>
  </r>
  <r>
    <x v="428"/>
    <x v="6"/>
    <x v="1"/>
    <x v="0"/>
    <x v="138"/>
    <x v="6"/>
    <x v="2"/>
    <x v="101"/>
  </r>
  <r>
    <x v="429"/>
    <x v="1"/>
    <x v="3"/>
    <x v="2"/>
    <x v="129"/>
    <x v="6"/>
    <x v="2"/>
    <x v="61"/>
  </r>
  <r>
    <x v="430"/>
    <x v="9"/>
    <x v="1"/>
    <x v="6"/>
    <x v="114"/>
    <x v="120"/>
    <x v="144"/>
    <x v="0"/>
  </r>
  <r>
    <x v="431"/>
    <x v="1"/>
    <x v="2"/>
    <x v="3"/>
    <x v="89"/>
    <x v="23"/>
    <x v="54"/>
    <x v="0"/>
  </r>
  <r>
    <x v="432"/>
    <x v="4"/>
    <x v="2"/>
    <x v="1"/>
    <x v="130"/>
    <x v="6"/>
    <x v="2"/>
    <x v="105"/>
  </r>
  <r>
    <x v="433"/>
    <x v="1"/>
    <x v="2"/>
    <x v="6"/>
    <x v="99"/>
    <x v="140"/>
    <x v="147"/>
    <x v="0"/>
  </r>
  <r>
    <x v="434"/>
    <x v="7"/>
    <x v="5"/>
    <x v="6"/>
    <x v="105"/>
    <x v="141"/>
    <x v="62"/>
    <x v="0"/>
  </r>
  <r>
    <x v="435"/>
    <x v="7"/>
    <x v="2"/>
    <x v="2"/>
    <x v="141"/>
    <x v="139"/>
    <x v="125"/>
    <x v="0"/>
  </r>
  <r>
    <x v="436"/>
    <x v="0"/>
    <x v="2"/>
    <x v="3"/>
    <x v="142"/>
    <x v="142"/>
    <x v="106"/>
    <x v="0"/>
  </r>
  <r>
    <x v="437"/>
    <x v="1"/>
    <x v="2"/>
    <x v="1"/>
    <x v="119"/>
    <x v="137"/>
    <x v="128"/>
    <x v="0"/>
  </r>
  <r>
    <x v="438"/>
    <x v="10"/>
    <x v="2"/>
    <x v="4"/>
    <x v="141"/>
    <x v="102"/>
    <x v="136"/>
    <x v="0"/>
  </r>
  <r>
    <x v="439"/>
    <x v="8"/>
    <x v="11"/>
    <x v="6"/>
    <x v="147"/>
    <x v="128"/>
    <x v="116"/>
    <x v="0"/>
  </r>
  <r>
    <x v="440"/>
    <x v="0"/>
    <x v="2"/>
    <x v="3"/>
    <x v="108"/>
    <x v="59"/>
    <x v="2"/>
    <x v="2"/>
  </r>
  <r>
    <x v="441"/>
    <x v="1"/>
    <x v="0"/>
    <x v="0"/>
    <x v="131"/>
    <x v="6"/>
    <x v="2"/>
    <x v="96"/>
  </r>
  <r>
    <x v="442"/>
    <x v="0"/>
    <x v="3"/>
    <x v="2"/>
    <x v="147"/>
    <x v="56"/>
    <x v="148"/>
    <x v="0"/>
  </r>
  <r>
    <x v="443"/>
    <x v="1"/>
    <x v="3"/>
    <x v="1"/>
    <x v="148"/>
    <x v="124"/>
    <x v="136"/>
    <x v="0"/>
  </r>
  <r>
    <x v="444"/>
    <x v="7"/>
    <x v="2"/>
    <x v="4"/>
    <x v="124"/>
    <x v="143"/>
    <x v="62"/>
    <x v="0"/>
  </r>
  <r>
    <x v="445"/>
    <x v="2"/>
    <x v="3"/>
    <x v="0"/>
    <x v="90"/>
    <x v="140"/>
    <x v="132"/>
    <x v="0"/>
  </r>
  <r>
    <x v="446"/>
    <x v="0"/>
    <x v="3"/>
    <x v="6"/>
    <x v="124"/>
    <x v="6"/>
    <x v="2"/>
    <x v="21"/>
  </r>
  <r>
    <x v="447"/>
    <x v="7"/>
    <x v="9"/>
    <x v="2"/>
    <x v="102"/>
    <x v="109"/>
    <x v="129"/>
    <x v="0"/>
  </r>
  <r>
    <x v="448"/>
    <x v="0"/>
    <x v="2"/>
    <x v="4"/>
    <x v="105"/>
    <x v="129"/>
    <x v="140"/>
    <x v="0"/>
  </r>
  <r>
    <x v="449"/>
    <x v="7"/>
    <x v="3"/>
    <x v="3"/>
    <x v="117"/>
    <x v="140"/>
    <x v="117"/>
    <x v="0"/>
  </r>
  <r>
    <x v="450"/>
    <x v="0"/>
    <x v="1"/>
    <x v="1"/>
    <x v="131"/>
    <x v="136"/>
    <x v="147"/>
    <x v="0"/>
  </r>
  <r>
    <x v="451"/>
    <x v="6"/>
    <x v="10"/>
    <x v="0"/>
    <x v="110"/>
    <x v="144"/>
    <x v="142"/>
    <x v="0"/>
  </r>
  <r>
    <x v="452"/>
    <x v="1"/>
    <x v="3"/>
    <x v="4"/>
    <x v="96"/>
    <x v="130"/>
    <x v="110"/>
    <x v="0"/>
  </r>
  <r>
    <x v="453"/>
    <x v="6"/>
    <x v="2"/>
    <x v="5"/>
    <x v="112"/>
    <x v="145"/>
    <x v="149"/>
    <x v="0"/>
  </r>
  <r>
    <x v="454"/>
    <x v="4"/>
    <x v="3"/>
    <x v="2"/>
    <x v="117"/>
    <x v="6"/>
    <x v="2"/>
    <x v="106"/>
  </r>
  <r>
    <x v="455"/>
    <x v="7"/>
    <x v="2"/>
    <x v="2"/>
    <x v="128"/>
    <x v="6"/>
    <x v="2"/>
    <x v="107"/>
  </r>
  <r>
    <x v="456"/>
    <x v="1"/>
    <x v="1"/>
    <x v="3"/>
    <x v="131"/>
    <x v="6"/>
    <x v="2"/>
    <x v="94"/>
  </r>
  <r>
    <x v="457"/>
    <x v="1"/>
    <x v="7"/>
    <x v="3"/>
    <x v="122"/>
    <x v="6"/>
    <x v="2"/>
    <x v="67"/>
  </r>
  <r>
    <x v="458"/>
    <x v="4"/>
    <x v="1"/>
    <x v="2"/>
    <x v="134"/>
    <x v="88"/>
    <x v="134"/>
    <x v="0"/>
  </r>
  <r>
    <x v="459"/>
    <x v="8"/>
    <x v="2"/>
    <x v="2"/>
    <x v="90"/>
    <x v="140"/>
    <x v="150"/>
    <x v="0"/>
  </r>
  <r>
    <x v="460"/>
    <x v="1"/>
    <x v="2"/>
    <x v="2"/>
    <x v="141"/>
    <x v="6"/>
    <x v="2"/>
    <x v="33"/>
  </r>
  <r>
    <x v="461"/>
    <x v="4"/>
    <x v="9"/>
    <x v="5"/>
    <x v="108"/>
    <x v="6"/>
    <x v="2"/>
    <x v="22"/>
  </r>
  <r>
    <x v="462"/>
    <x v="1"/>
    <x v="3"/>
    <x v="6"/>
    <x v="94"/>
    <x v="124"/>
    <x v="128"/>
    <x v="0"/>
  </r>
  <r>
    <x v="463"/>
    <x v="6"/>
    <x v="3"/>
    <x v="3"/>
    <x v="109"/>
    <x v="6"/>
    <x v="2"/>
    <x v="6"/>
  </r>
  <r>
    <x v="464"/>
    <x v="0"/>
    <x v="8"/>
    <x v="6"/>
    <x v="103"/>
    <x v="126"/>
    <x v="133"/>
    <x v="0"/>
  </r>
  <r>
    <x v="465"/>
    <x v="3"/>
    <x v="2"/>
    <x v="3"/>
    <x v="104"/>
    <x v="130"/>
    <x v="120"/>
    <x v="0"/>
  </r>
  <r>
    <x v="466"/>
    <x v="1"/>
    <x v="2"/>
    <x v="2"/>
    <x v="95"/>
    <x v="146"/>
    <x v="118"/>
    <x v="0"/>
  </r>
  <r>
    <x v="467"/>
    <x v="4"/>
    <x v="2"/>
    <x v="0"/>
    <x v="106"/>
    <x v="89"/>
    <x v="146"/>
    <x v="0"/>
  </r>
  <r>
    <x v="468"/>
    <x v="7"/>
    <x v="10"/>
    <x v="5"/>
    <x v="133"/>
    <x v="127"/>
    <x v="110"/>
    <x v="0"/>
  </r>
  <r>
    <x v="469"/>
    <x v="1"/>
    <x v="3"/>
    <x v="2"/>
    <x v="118"/>
    <x v="141"/>
    <x v="124"/>
    <x v="0"/>
  </r>
  <r>
    <x v="470"/>
    <x v="7"/>
    <x v="8"/>
    <x v="6"/>
    <x v="99"/>
    <x v="140"/>
    <x v="151"/>
    <x v="0"/>
  </r>
  <r>
    <x v="471"/>
    <x v="1"/>
    <x v="2"/>
    <x v="0"/>
    <x v="146"/>
    <x v="107"/>
    <x v="124"/>
    <x v="0"/>
  </r>
  <r>
    <x v="472"/>
    <x v="1"/>
    <x v="1"/>
    <x v="0"/>
    <x v="92"/>
    <x v="6"/>
    <x v="2"/>
    <x v="108"/>
  </r>
  <r>
    <x v="473"/>
    <x v="4"/>
    <x v="6"/>
    <x v="6"/>
    <x v="116"/>
    <x v="116"/>
    <x v="121"/>
    <x v="0"/>
  </r>
  <r>
    <x v="474"/>
    <x v="4"/>
    <x v="5"/>
    <x v="1"/>
    <x v="138"/>
    <x v="6"/>
    <x v="2"/>
    <x v="61"/>
  </r>
  <r>
    <x v="475"/>
    <x v="8"/>
    <x v="2"/>
    <x v="2"/>
    <x v="129"/>
    <x v="124"/>
    <x v="152"/>
    <x v="0"/>
  </r>
  <r>
    <x v="476"/>
    <x v="0"/>
    <x v="2"/>
    <x v="2"/>
    <x v="91"/>
    <x v="111"/>
    <x v="95"/>
    <x v="0"/>
  </r>
  <r>
    <x v="477"/>
    <x v="7"/>
    <x v="11"/>
    <x v="3"/>
    <x v="125"/>
    <x v="6"/>
    <x v="2"/>
    <x v="109"/>
  </r>
  <r>
    <x v="478"/>
    <x v="4"/>
    <x v="0"/>
    <x v="6"/>
    <x v="134"/>
    <x v="126"/>
    <x v="153"/>
    <x v="0"/>
  </r>
  <r>
    <x v="479"/>
    <x v="1"/>
    <x v="5"/>
    <x v="6"/>
    <x v="115"/>
    <x v="116"/>
    <x v="147"/>
    <x v="0"/>
  </r>
  <r>
    <x v="480"/>
    <x v="7"/>
    <x v="3"/>
    <x v="6"/>
    <x v="139"/>
    <x v="147"/>
    <x v="146"/>
    <x v="0"/>
  </r>
  <r>
    <x v="481"/>
    <x v="7"/>
    <x v="7"/>
    <x v="2"/>
    <x v="92"/>
    <x v="139"/>
    <x v="146"/>
    <x v="0"/>
  </r>
  <r>
    <x v="482"/>
    <x v="7"/>
    <x v="8"/>
    <x v="3"/>
    <x v="125"/>
    <x v="114"/>
    <x v="44"/>
    <x v="0"/>
  </r>
  <r>
    <x v="483"/>
    <x v="1"/>
    <x v="1"/>
    <x v="2"/>
    <x v="141"/>
    <x v="142"/>
    <x v="142"/>
    <x v="0"/>
  </r>
  <r>
    <x v="484"/>
    <x v="4"/>
    <x v="4"/>
    <x v="6"/>
    <x v="141"/>
    <x v="148"/>
    <x v="128"/>
    <x v="0"/>
  </r>
  <r>
    <x v="485"/>
    <x v="1"/>
    <x v="8"/>
    <x v="0"/>
    <x v="141"/>
    <x v="134"/>
    <x v="117"/>
    <x v="0"/>
  </r>
  <r>
    <x v="486"/>
    <x v="1"/>
    <x v="2"/>
    <x v="6"/>
    <x v="119"/>
    <x v="106"/>
    <x v="125"/>
    <x v="0"/>
  </r>
  <r>
    <x v="487"/>
    <x v="7"/>
    <x v="1"/>
    <x v="2"/>
    <x v="117"/>
    <x v="6"/>
    <x v="2"/>
    <x v="110"/>
  </r>
  <r>
    <x v="488"/>
    <x v="4"/>
    <x v="2"/>
    <x v="1"/>
    <x v="89"/>
    <x v="6"/>
    <x v="2"/>
    <x v="111"/>
  </r>
  <r>
    <x v="489"/>
    <x v="1"/>
    <x v="0"/>
    <x v="2"/>
    <x v="146"/>
    <x v="126"/>
    <x v="118"/>
    <x v="0"/>
  </r>
  <r>
    <x v="490"/>
    <x v="7"/>
    <x v="6"/>
    <x v="6"/>
    <x v="133"/>
    <x v="90"/>
    <x v="134"/>
    <x v="0"/>
  </r>
  <r>
    <x v="491"/>
    <x v="0"/>
    <x v="11"/>
    <x v="2"/>
    <x v="127"/>
    <x v="135"/>
    <x v="145"/>
    <x v="0"/>
  </r>
  <r>
    <x v="492"/>
    <x v="7"/>
    <x v="0"/>
    <x v="5"/>
    <x v="118"/>
    <x v="98"/>
    <x v="104"/>
    <x v="0"/>
  </r>
  <r>
    <x v="493"/>
    <x v="4"/>
    <x v="2"/>
    <x v="3"/>
    <x v="127"/>
    <x v="87"/>
    <x v="122"/>
    <x v="0"/>
  </r>
  <r>
    <x v="494"/>
    <x v="5"/>
    <x v="1"/>
    <x v="2"/>
    <x v="100"/>
    <x v="23"/>
    <x v="68"/>
    <x v="0"/>
  </r>
  <r>
    <x v="495"/>
    <x v="7"/>
    <x v="3"/>
    <x v="0"/>
    <x v="103"/>
    <x v="6"/>
    <x v="2"/>
    <x v="112"/>
  </r>
  <r>
    <x v="496"/>
    <x v="0"/>
    <x v="6"/>
    <x v="3"/>
    <x v="146"/>
    <x v="6"/>
    <x v="2"/>
    <x v="86"/>
  </r>
  <r>
    <x v="497"/>
    <x v="2"/>
    <x v="3"/>
    <x v="6"/>
    <x v="97"/>
    <x v="6"/>
    <x v="2"/>
    <x v="77"/>
  </r>
  <r>
    <x v="498"/>
    <x v="5"/>
    <x v="1"/>
    <x v="0"/>
    <x v="98"/>
    <x v="105"/>
    <x v="109"/>
    <x v="0"/>
  </r>
  <r>
    <x v="499"/>
    <x v="4"/>
    <x v="1"/>
    <x v="6"/>
    <x v="135"/>
    <x v="125"/>
    <x v="152"/>
    <x v="0"/>
  </r>
  <r>
    <x v="500"/>
    <x v="1"/>
    <x v="1"/>
    <x v="6"/>
    <x v="110"/>
    <x v="6"/>
    <x v="2"/>
    <x v="16"/>
  </r>
  <r>
    <x v="501"/>
    <x v="1"/>
    <x v="1"/>
    <x v="5"/>
    <x v="145"/>
    <x v="6"/>
    <x v="2"/>
    <x v="104"/>
  </r>
  <r>
    <x v="502"/>
    <x v="4"/>
    <x v="7"/>
    <x v="2"/>
    <x v="147"/>
    <x v="6"/>
    <x v="2"/>
    <x v="6"/>
  </r>
  <r>
    <x v="503"/>
    <x v="1"/>
    <x v="2"/>
    <x v="6"/>
    <x v="147"/>
    <x v="149"/>
    <x v="154"/>
    <x v="0"/>
  </r>
  <r>
    <x v="504"/>
    <x v="1"/>
    <x v="1"/>
    <x v="3"/>
    <x v="106"/>
    <x v="6"/>
    <x v="2"/>
    <x v="60"/>
  </r>
  <r>
    <x v="505"/>
    <x v="7"/>
    <x v="1"/>
    <x v="6"/>
    <x v="103"/>
    <x v="141"/>
    <x v="140"/>
    <x v="0"/>
  </r>
  <r>
    <x v="506"/>
    <x v="1"/>
    <x v="3"/>
    <x v="6"/>
    <x v="123"/>
    <x v="129"/>
    <x v="44"/>
    <x v="0"/>
  </r>
  <r>
    <x v="507"/>
    <x v="6"/>
    <x v="6"/>
    <x v="2"/>
    <x v="149"/>
    <x v="149"/>
    <x v="149"/>
    <x v="0"/>
  </r>
  <r>
    <x v="508"/>
    <x v="0"/>
    <x v="3"/>
    <x v="6"/>
    <x v="135"/>
    <x v="127"/>
    <x v="119"/>
    <x v="0"/>
  </r>
  <r>
    <x v="509"/>
    <x v="1"/>
    <x v="2"/>
    <x v="5"/>
    <x v="92"/>
    <x v="142"/>
    <x v="135"/>
    <x v="0"/>
  </r>
  <r>
    <x v="510"/>
    <x v="3"/>
    <x v="2"/>
    <x v="3"/>
    <x v="138"/>
    <x v="87"/>
    <x v="110"/>
    <x v="0"/>
  </r>
  <r>
    <x v="511"/>
    <x v="4"/>
    <x v="3"/>
    <x v="6"/>
    <x v="139"/>
    <x v="119"/>
    <x v="132"/>
    <x v="0"/>
  </r>
  <r>
    <x v="512"/>
    <x v="2"/>
    <x v="1"/>
    <x v="3"/>
    <x v="138"/>
    <x v="133"/>
    <x v="117"/>
    <x v="0"/>
  </r>
  <r>
    <x v="513"/>
    <x v="4"/>
    <x v="2"/>
    <x v="1"/>
    <x v="137"/>
    <x v="122"/>
    <x v="137"/>
    <x v="0"/>
  </r>
  <r>
    <x v="514"/>
    <x v="7"/>
    <x v="11"/>
    <x v="6"/>
    <x v="129"/>
    <x v="103"/>
    <x v="127"/>
    <x v="0"/>
  </r>
  <r>
    <x v="515"/>
    <x v="7"/>
    <x v="2"/>
    <x v="4"/>
    <x v="130"/>
    <x v="6"/>
    <x v="2"/>
    <x v="17"/>
  </r>
  <r>
    <x v="516"/>
    <x v="0"/>
    <x v="3"/>
    <x v="1"/>
    <x v="108"/>
    <x v="96"/>
    <x v="137"/>
    <x v="0"/>
  </r>
  <r>
    <x v="517"/>
    <x v="3"/>
    <x v="1"/>
    <x v="6"/>
    <x v="140"/>
    <x v="134"/>
    <x v="155"/>
    <x v="0"/>
  </r>
  <r>
    <x v="518"/>
    <x v="1"/>
    <x v="4"/>
    <x v="2"/>
    <x v="109"/>
    <x v="6"/>
    <x v="2"/>
    <x v="113"/>
  </r>
  <r>
    <x v="519"/>
    <x v="5"/>
    <x v="2"/>
    <x v="2"/>
    <x v="99"/>
    <x v="101"/>
    <x v="136"/>
    <x v="0"/>
  </r>
  <r>
    <x v="520"/>
    <x v="7"/>
    <x v="3"/>
    <x v="3"/>
    <x v="148"/>
    <x v="103"/>
    <x v="128"/>
    <x v="0"/>
  </r>
  <r>
    <x v="521"/>
    <x v="4"/>
    <x v="7"/>
    <x v="4"/>
    <x v="134"/>
    <x v="150"/>
    <x v="135"/>
    <x v="0"/>
  </r>
  <r>
    <x v="522"/>
    <x v="0"/>
    <x v="1"/>
    <x v="1"/>
    <x v="116"/>
    <x v="6"/>
    <x v="2"/>
    <x v="114"/>
  </r>
  <r>
    <x v="523"/>
    <x v="0"/>
    <x v="1"/>
    <x v="2"/>
    <x v="125"/>
    <x v="9"/>
    <x v="19"/>
    <x v="0"/>
  </r>
  <r>
    <x v="524"/>
    <x v="1"/>
    <x v="2"/>
    <x v="6"/>
    <x v="114"/>
    <x v="110"/>
    <x v="133"/>
    <x v="0"/>
  </r>
  <r>
    <x v="525"/>
    <x v="5"/>
    <x v="8"/>
    <x v="2"/>
    <x v="150"/>
    <x v="6"/>
    <x v="2"/>
    <x v="115"/>
  </r>
  <r>
    <x v="526"/>
    <x v="1"/>
    <x v="3"/>
    <x v="1"/>
    <x v="151"/>
    <x v="145"/>
    <x v="156"/>
    <x v="0"/>
  </r>
  <r>
    <x v="527"/>
    <x v="1"/>
    <x v="3"/>
    <x v="0"/>
    <x v="152"/>
    <x v="151"/>
    <x v="157"/>
    <x v="0"/>
  </r>
  <r>
    <x v="528"/>
    <x v="1"/>
    <x v="4"/>
    <x v="0"/>
    <x v="153"/>
    <x v="152"/>
    <x v="158"/>
    <x v="0"/>
  </r>
  <r>
    <x v="529"/>
    <x v="1"/>
    <x v="5"/>
    <x v="3"/>
    <x v="154"/>
    <x v="6"/>
    <x v="2"/>
    <x v="116"/>
  </r>
  <r>
    <x v="530"/>
    <x v="4"/>
    <x v="7"/>
    <x v="4"/>
    <x v="155"/>
    <x v="153"/>
    <x v="157"/>
    <x v="0"/>
  </r>
  <r>
    <x v="531"/>
    <x v="4"/>
    <x v="1"/>
    <x v="0"/>
    <x v="156"/>
    <x v="6"/>
    <x v="2"/>
    <x v="31"/>
  </r>
  <r>
    <x v="532"/>
    <x v="4"/>
    <x v="12"/>
    <x v="6"/>
    <x v="157"/>
    <x v="154"/>
    <x v="159"/>
    <x v="0"/>
  </r>
  <r>
    <x v="533"/>
    <x v="1"/>
    <x v="2"/>
    <x v="2"/>
    <x v="158"/>
    <x v="153"/>
    <x v="160"/>
    <x v="0"/>
  </r>
  <r>
    <x v="534"/>
    <x v="7"/>
    <x v="6"/>
    <x v="2"/>
    <x v="159"/>
    <x v="155"/>
    <x v="161"/>
    <x v="0"/>
  </r>
  <r>
    <x v="535"/>
    <x v="3"/>
    <x v="7"/>
    <x v="2"/>
    <x v="160"/>
    <x v="156"/>
    <x v="162"/>
    <x v="0"/>
  </r>
  <r>
    <x v="536"/>
    <x v="7"/>
    <x v="3"/>
    <x v="0"/>
    <x v="161"/>
    <x v="6"/>
    <x v="2"/>
    <x v="117"/>
  </r>
  <r>
    <x v="537"/>
    <x v="1"/>
    <x v="2"/>
    <x v="0"/>
    <x v="159"/>
    <x v="6"/>
    <x v="2"/>
    <x v="118"/>
  </r>
  <r>
    <x v="538"/>
    <x v="1"/>
    <x v="4"/>
    <x v="5"/>
    <x v="156"/>
    <x v="157"/>
    <x v="163"/>
    <x v="0"/>
  </r>
  <r>
    <x v="539"/>
    <x v="1"/>
    <x v="1"/>
    <x v="2"/>
    <x v="156"/>
    <x v="158"/>
    <x v="156"/>
    <x v="0"/>
  </r>
  <r>
    <x v="540"/>
    <x v="1"/>
    <x v="3"/>
    <x v="2"/>
    <x v="160"/>
    <x v="159"/>
    <x v="123"/>
    <x v="0"/>
  </r>
  <r>
    <x v="391"/>
    <x v="2"/>
    <x v="1"/>
    <x v="0"/>
    <x v="162"/>
    <x v="153"/>
    <x v="164"/>
    <x v="0"/>
  </r>
  <r>
    <x v="75"/>
    <x v="2"/>
    <x v="0"/>
    <x v="2"/>
    <x v="163"/>
    <x v="160"/>
    <x v="165"/>
    <x v="0"/>
  </r>
  <r>
    <x v="392"/>
    <x v="1"/>
    <x v="7"/>
    <x v="2"/>
    <x v="164"/>
    <x v="161"/>
    <x v="166"/>
    <x v="0"/>
  </r>
  <r>
    <x v="393"/>
    <x v="1"/>
    <x v="1"/>
    <x v="6"/>
    <x v="165"/>
    <x v="6"/>
    <x v="2"/>
    <x v="38"/>
  </r>
  <r>
    <x v="78"/>
    <x v="5"/>
    <x v="11"/>
    <x v="2"/>
    <x v="165"/>
    <x v="162"/>
    <x v="46"/>
    <x v="0"/>
  </r>
  <r>
    <x v="394"/>
    <x v="0"/>
    <x v="2"/>
    <x v="0"/>
    <x v="166"/>
    <x v="6"/>
    <x v="2"/>
    <x v="55"/>
  </r>
  <r>
    <x v="541"/>
    <x v="7"/>
    <x v="0"/>
    <x v="2"/>
    <x v="167"/>
    <x v="163"/>
    <x v="167"/>
    <x v="0"/>
  </r>
  <r>
    <x v="542"/>
    <x v="0"/>
    <x v="1"/>
    <x v="6"/>
    <x v="168"/>
    <x v="152"/>
    <x v="2"/>
    <x v="111"/>
  </r>
  <r>
    <x v="50"/>
    <x v="1"/>
    <x v="2"/>
    <x v="0"/>
    <x v="165"/>
    <x v="162"/>
    <x v="105"/>
    <x v="0"/>
  </r>
  <r>
    <x v="385"/>
    <x v="1"/>
    <x v="0"/>
    <x v="2"/>
    <x v="153"/>
    <x v="156"/>
    <x v="156"/>
    <x v="0"/>
  </r>
  <r>
    <x v="59"/>
    <x v="4"/>
    <x v="3"/>
    <x v="0"/>
    <x v="169"/>
    <x v="164"/>
    <x v="123"/>
    <x v="0"/>
  </r>
  <r>
    <x v="67"/>
    <x v="4"/>
    <x v="1"/>
    <x v="6"/>
    <x v="170"/>
    <x v="6"/>
    <x v="2"/>
    <x v="119"/>
  </r>
  <r>
    <x v="389"/>
    <x v="1"/>
    <x v="5"/>
    <x v="3"/>
    <x v="170"/>
    <x v="155"/>
    <x v="168"/>
    <x v="0"/>
  </r>
  <r>
    <x v="541"/>
    <x v="7"/>
    <x v="6"/>
    <x v="2"/>
    <x v="151"/>
    <x v="165"/>
    <x v="121"/>
    <x v="0"/>
  </r>
  <r>
    <x v="542"/>
    <x v="10"/>
    <x v="1"/>
    <x v="1"/>
    <x v="157"/>
    <x v="162"/>
    <x v="169"/>
    <x v="0"/>
  </r>
  <r>
    <x v="397"/>
    <x v="8"/>
    <x v="4"/>
    <x v="1"/>
    <x v="168"/>
    <x v="166"/>
    <x v="170"/>
    <x v="0"/>
  </r>
  <r>
    <x v="120"/>
    <x v="4"/>
    <x v="2"/>
    <x v="6"/>
    <x v="166"/>
    <x v="167"/>
    <x v="170"/>
    <x v="0"/>
  </r>
  <r>
    <x v="105"/>
    <x v="8"/>
    <x v="2"/>
    <x v="4"/>
    <x v="170"/>
    <x v="95"/>
    <x v="171"/>
    <x v="0"/>
  </r>
  <r>
    <x v="399"/>
    <x v="7"/>
    <x v="4"/>
    <x v="3"/>
    <x v="163"/>
    <x v="156"/>
    <x v="105"/>
    <x v="0"/>
  </r>
  <r>
    <x v="106"/>
    <x v="1"/>
    <x v="2"/>
    <x v="2"/>
    <x v="171"/>
    <x v="168"/>
    <x v="154"/>
    <x v="0"/>
  </r>
  <r>
    <x v="112"/>
    <x v="5"/>
    <x v="2"/>
    <x v="3"/>
    <x v="153"/>
    <x v="169"/>
    <x v="164"/>
    <x v="0"/>
  </r>
  <r>
    <x v="125"/>
    <x v="1"/>
    <x v="2"/>
    <x v="2"/>
    <x v="158"/>
    <x v="160"/>
    <x v="46"/>
    <x v="0"/>
  </r>
  <r>
    <x v="398"/>
    <x v="1"/>
    <x v="7"/>
    <x v="2"/>
    <x v="152"/>
    <x v="6"/>
    <x v="2"/>
    <x v="120"/>
  </r>
  <r>
    <x v="127"/>
    <x v="7"/>
    <x v="2"/>
    <x v="4"/>
    <x v="163"/>
    <x v="162"/>
    <x v="172"/>
    <x v="0"/>
  </r>
  <r>
    <x v="85"/>
    <x v="4"/>
    <x v="2"/>
    <x v="2"/>
    <x v="153"/>
    <x v="170"/>
    <x v="172"/>
    <x v="0"/>
  </r>
  <r>
    <x v="399"/>
    <x v="6"/>
    <x v="2"/>
    <x v="0"/>
    <x v="172"/>
    <x v="6"/>
    <x v="2"/>
    <x v="121"/>
  </r>
  <r>
    <x v="89"/>
    <x v="4"/>
    <x v="3"/>
    <x v="3"/>
    <x v="173"/>
    <x v="170"/>
    <x v="173"/>
    <x v="0"/>
  </r>
  <r>
    <x v="123"/>
    <x v="4"/>
    <x v="1"/>
    <x v="2"/>
    <x v="174"/>
    <x v="171"/>
    <x v="169"/>
    <x v="0"/>
  </r>
  <r>
    <x v="124"/>
    <x v="0"/>
    <x v="3"/>
    <x v="1"/>
    <x v="156"/>
    <x v="6"/>
    <x v="2"/>
    <x v="122"/>
  </r>
  <r>
    <x v="94"/>
    <x v="6"/>
    <x v="2"/>
    <x v="6"/>
    <x v="160"/>
    <x v="164"/>
    <x v="154"/>
    <x v="0"/>
  </r>
  <r>
    <x v="97"/>
    <x v="2"/>
    <x v="3"/>
    <x v="6"/>
    <x v="167"/>
    <x v="172"/>
    <x v="174"/>
    <x v="0"/>
  </r>
  <r>
    <x v="396"/>
    <x v="0"/>
    <x v="12"/>
    <x v="1"/>
    <x v="171"/>
    <x v="173"/>
    <x v="175"/>
    <x v="0"/>
  </r>
  <r>
    <x v="101"/>
    <x v="8"/>
    <x v="7"/>
    <x v="2"/>
    <x v="163"/>
    <x v="156"/>
    <x v="167"/>
    <x v="0"/>
  </r>
  <r>
    <x v="102"/>
    <x v="1"/>
    <x v="2"/>
    <x v="4"/>
    <x v="165"/>
    <x v="174"/>
    <x v="175"/>
    <x v="0"/>
  </r>
  <r>
    <x v="83"/>
    <x v="4"/>
    <x v="1"/>
    <x v="2"/>
    <x v="173"/>
    <x v="166"/>
    <x v="176"/>
    <x v="0"/>
  </r>
  <r>
    <x v="397"/>
    <x v="0"/>
    <x v="3"/>
    <x v="6"/>
    <x v="151"/>
    <x v="145"/>
    <x v="154"/>
    <x v="0"/>
  </r>
  <r>
    <x v="87"/>
    <x v="7"/>
    <x v="1"/>
    <x v="2"/>
    <x v="159"/>
    <x v="175"/>
    <x v="2"/>
    <x v="123"/>
  </r>
  <r>
    <x v="106"/>
    <x v="6"/>
    <x v="2"/>
    <x v="1"/>
    <x v="150"/>
    <x v="160"/>
    <x v="164"/>
    <x v="0"/>
  </r>
  <r>
    <x v="109"/>
    <x v="7"/>
    <x v="2"/>
    <x v="1"/>
    <x v="154"/>
    <x v="160"/>
    <x v="46"/>
    <x v="0"/>
  </r>
  <r>
    <x v="111"/>
    <x v="7"/>
    <x v="1"/>
    <x v="3"/>
    <x v="164"/>
    <x v="157"/>
    <x v="177"/>
    <x v="0"/>
  </r>
  <r>
    <x v="112"/>
    <x v="4"/>
    <x v="1"/>
    <x v="2"/>
    <x v="156"/>
    <x v="157"/>
    <x v="162"/>
    <x v="0"/>
  </r>
  <r>
    <x v="114"/>
    <x v="5"/>
    <x v="2"/>
    <x v="2"/>
    <x v="159"/>
    <x v="176"/>
    <x v="178"/>
    <x v="0"/>
  </r>
  <r>
    <x v="100"/>
    <x v="10"/>
    <x v="0"/>
    <x v="2"/>
    <x v="175"/>
    <x v="154"/>
    <x v="154"/>
    <x v="0"/>
  </r>
  <r>
    <x v="101"/>
    <x v="1"/>
    <x v="1"/>
    <x v="0"/>
    <x v="152"/>
    <x v="6"/>
    <x v="2"/>
    <x v="124"/>
  </r>
  <r>
    <x v="103"/>
    <x v="5"/>
    <x v="6"/>
    <x v="3"/>
    <x v="176"/>
    <x v="177"/>
    <x v="112"/>
    <x v="0"/>
  </r>
  <r>
    <x v="154"/>
    <x v="0"/>
    <x v="1"/>
    <x v="1"/>
    <x v="172"/>
    <x v="159"/>
    <x v="149"/>
    <x v="0"/>
  </r>
  <r>
    <x v="157"/>
    <x v="1"/>
    <x v="2"/>
    <x v="3"/>
    <x v="173"/>
    <x v="170"/>
    <x v="163"/>
    <x v="0"/>
  </r>
  <r>
    <x v="408"/>
    <x v="4"/>
    <x v="1"/>
    <x v="3"/>
    <x v="170"/>
    <x v="178"/>
    <x v="179"/>
    <x v="0"/>
  </r>
  <r>
    <x v="409"/>
    <x v="0"/>
    <x v="3"/>
    <x v="6"/>
    <x v="154"/>
    <x v="166"/>
    <x v="158"/>
    <x v="0"/>
  </r>
  <r>
    <x v="543"/>
    <x v="4"/>
    <x v="2"/>
    <x v="1"/>
    <x v="165"/>
    <x v="156"/>
    <x v="105"/>
    <x v="0"/>
  </r>
  <r>
    <x v="162"/>
    <x v="0"/>
    <x v="3"/>
    <x v="0"/>
    <x v="153"/>
    <x v="173"/>
    <x v="180"/>
    <x v="0"/>
  </r>
  <r>
    <x v="410"/>
    <x v="6"/>
    <x v="2"/>
    <x v="6"/>
    <x v="174"/>
    <x v="169"/>
    <x v="181"/>
    <x v="0"/>
  </r>
  <r>
    <x v="164"/>
    <x v="7"/>
    <x v="2"/>
    <x v="6"/>
    <x v="165"/>
    <x v="154"/>
    <x v="167"/>
    <x v="0"/>
  </r>
  <r>
    <x v="165"/>
    <x v="8"/>
    <x v="1"/>
    <x v="2"/>
    <x v="169"/>
    <x v="163"/>
    <x v="174"/>
    <x v="0"/>
  </r>
  <r>
    <x v="128"/>
    <x v="4"/>
    <x v="6"/>
    <x v="6"/>
    <x v="177"/>
    <x v="171"/>
    <x v="149"/>
    <x v="0"/>
  </r>
  <r>
    <x v="401"/>
    <x v="0"/>
    <x v="9"/>
    <x v="3"/>
    <x v="162"/>
    <x v="6"/>
    <x v="2"/>
    <x v="125"/>
  </r>
  <r>
    <x v="402"/>
    <x v="10"/>
    <x v="5"/>
    <x v="3"/>
    <x v="161"/>
    <x v="159"/>
    <x v="148"/>
    <x v="0"/>
  </r>
  <r>
    <x v="130"/>
    <x v="4"/>
    <x v="1"/>
    <x v="4"/>
    <x v="164"/>
    <x v="161"/>
    <x v="176"/>
    <x v="0"/>
  </r>
  <r>
    <x v="405"/>
    <x v="7"/>
    <x v="7"/>
    <x v="2"/>
    <x v="169"/>
    <x v="6"/>
    <x v="2"/>
    <x v="107"/>
  </r>
  <r>
    <x v="139"/>
    <x v="7"/>
    <x v="2"/>
    <x v="6"/>
    <x v="154"/>
    <x v="157"/>
    <x v="163"/>
    <x v="0"/>
  </r>
  <r>
    <x v="543"/>
    <x v="4"/>
    <x v="5"/>
    <x v="3"/>
    <x v="152"/>
    <x v="151"/>
    <x v="158"/>
    <x v="0"/>
  </r>
  <r>
    <x v="143"/>
    <x v="4"/>
    <x v="7"/>
    <x v="2"/>
    <x v="150"/>
    <x v="95"/>
    <x v="171"/>
    <x v="0"/>
  </r>
  <r>
    <x v="146"/>
    <x v="1"/>
    <x v="4"/>
    <x v="2"/>
    <x v="151"/>
    <x v="6"/>
    <x v="2"/>
    <x v="126"/>
  </r>
  <r>
    <x v="150"/>
    <x v="4"/>
    <x v="8"/>
    <x v="2"/>
    <x v="177"/>
    <x v="6"/>
    <x v="2"/>
    <x v="83"/>
  </r>
  <r>
    <x v="544"/>
    <x v="4"/>
    <x v="11"/>
    <x v="4"/>
    <x v="176"/>
    <x v="164"/>
    <x v="173"/>
    <x v="0"/>
  </r>
  <r>
    <x v="545"/>
    <x v="4"/>
    <x v="6"/>
    <x v="2"/>
    <x v="165"/>
    <x v="160"/>
    <x v="182"/>
    <x v="0"/>
  </r>
  <r>
    <x v="546"/>
    <x v="1"/>
    <x v="0"/>
    <x v="3"/>
    <x v="173"/>
    <x v="152"/>
    <x v="170"/>
    <x v="0"/>
  </r>
  <r>
    <x v="547"/>
    <x v="5"/>
    <x v="2"/>
    <x v="2"/>
    <x v="151"/>
    <x v="6"/>
    <x v="2"/>
    <x v="127"/>
  </r>
  <r>
    <x v="548"/>
    <x v="0"/>
    <x v="7"/>
    <x v="2"/>
    <x v="162"/>
    <x v="6"/>
    <x v="2"/>
    <x v="50"/>
  </r>
  <r>
    <x v="549"/>
    <x v="0"/>
    <x v="3"/>
    <x v="2"/>
    <x v="155"/>
    <x v="170"/>
    <x v="156"/>
    <x v="0"/>
  </r>
  <r>
    <x v="550"/>
    <x v="8"/>
    <x v="0"/>
    <x v="1"/>
    <x v="150"/>
    <x v="160"/>
    <x v="161"/>
    <x v="0"/>
  </r>
  <r>
    <x v="551"/>
    <x v="1"/>
    <x v="3"/>
    <x v="0"/>
    <x v="155"/>
    <x v="179"/>
    <x v="167"/>
    <x v="0"/>
  </r>
  <r>
    <x v="552"/>
    <x v="1"/>
    <x v="4"/>
    <x v="4"/>
    <x v="157"/>
    <x v="173"/>
    <x v="169"/>
    <x v="0"/>
  </r>
  <r>
    <x v="553"/>
    <x v="1"/>
    <x v="2"/>
    <x v="3"/>
    <x v="169"/>
    <x v="164"/>
    <x v="169"/>
    <x v="0"/>
  </r>
  <r>
    <x v="554"/>
    <x v="4"/>
    <x v="3"/>
    <x v="3"/>
    <x v="157"/>
    <x v="6"/>
    <x v="2"/>
    <x v="128"/>
  </r>
  <r>
    <x v="555"/>
    <x v="0"/>
    <x v="7"/>
    <x v="2"/>
    <x v="164"/>
    <x v="160"/>
    <x v="170"/>
    <x v="0"/>
  </r>
  <r>
    <x v="556"/>
    <x v="0"/>
    <x v="11"/>
    <x v="2"/>
    <x v="163"/>
    <x v="158"/>
    <x v="165"/>
    <x v="0"/>
  </r>
  <r>
    <x v="557"/>
    <x v="7"/>
    <x v="1"/>
    <x v="1"/>
    <x v="173"/>
    <x v="160"/>
    <x v="183"/>
    <x v="0"/>
  </r>
  <r>
    <x v="558"/>
    <x v="1"/>
    <x v="2"/>
    <x v="2"/>
    <x v="171"/>
    <x v="173"/>
    <x v="180"/>
    <x v="0"/>
  </r>
  <r>
    <x v="559"/>
    <x v="1"/>
    <x v="3"/>
    <x v="3"/>
    <x v="169"/>
    <x v="174"/>
    <x v="123"/>
    <x v="0"/>
  </r>
  <r>
    <x v="560"/>
    <x v="4"/>
    <x v="8"/>
    <x v="2"/>
    <x v="160"/>
    <x v="174"/>
    <x v="172"/>
    <x v="0"/>
  </r>
  <r>
    <x v="561"/>
    <x v="4"/>
    <x v="2"/>
    <x v="2"/>
    <x v="174"/>
    <x v="174"/>
    <x v="46"/>
    <x v="0"/>
  </r>
  <r>
    <x v="562"/>
    <x v="4"/>
    <x v="1"/>
    <x v="5"/>
    <x v="167"/>
    <x v="6"/>
    <x v="2"/>
    <x v="129"/>
  </r>
  <r>
    <x v="563"/>
    <x v="0"/>
    <x v="8"/>
    <x v="0"/>
    <x v="169"/>
    <x v="172"/>
    <x v="177"/>
    <x v="0"/>
  </r>
  <r>
    <x v="564"/>
    <x v="7"/>
    <x v="2"/>
    <x v="0"/>
    <x v="153"/>
    <x v="156"/>
    <x v="174"/>
    <x v="0"/>
  </r>
  <r>
    <x v="565"/>
    <x v="2"/>
    <x v="0"/>
    <x v="1"/>
    <x v="178"/>
    <x v="6"/>
    <x v="2"/>
    <x v="130"/>
  </r>
  <r>
    <x v="566"/>
    <x v="10"/>
    <x v="3"/>
    <x v="2"/>
    <x v="159"/>
    <x v="6"/>
    <x v="2"/>
    <x v="131"/>
  </r>
  <r>
    <x v="567"/>
    <x v="7"/>
    <x v="2"/>
    <x v="2"/>
    <x v="162"/>
    <x v="6"/>
    <x v="2"/>
    <x v="132"/>
  </r>
  <r>
    <x v="568"/>
    <x v="2"/>
    <x v="1"/>
    <x v="4"/>
    <x v="153"/>
    <x v="162"/>
    <x v="169"/>
    <x v="0"/>
  </r>
  <r>
    <x v="569"/>
    <x v="4"/>
    <x v="1"/>
    <x v="2"/>
    <x v="150"/>
    <x v="166"/>
    <x v="158"/>
    <x v="0"/>
  </r>
  <r>
    <x v="570"/>
    <x v="4"/>
    <x v="2"/>
    <x v="2"/>
    <x v="171"/>
    <x v="171"/>
    <x v="169"/>
    <x v="0"/>
  </r>
  <r>
    <x v="571"/>
    <x v="1"/>
    <x v="8"/>
    <x v="3"/>
    <x v="166"/>
    <x v="151"/>
    <x v="160"/>
    <x v="0"/>
  </r>
  <r>
    <x v="572"/>
    <x v="10"/>
    <x v="2"/>
    <x v="4"/>
    <x v="171"/>
    <x v="15"/>
    <x v="2"/>
    <x v="133"/>
  </r>
  <r>
    <x v="573"/>
    <x v="1"/>
    <x v="3"/>
    <x v="2"/>
    <x v="158"/>
    <x v="158"/>
    <x v="173"/>
    <x v="0"/>
  </r>
  <r>
    <x v="574"/>
    <x v="2"/>
    <x v="6"/>
    <x v="0"/>
    <x v="152"/>
    <x v="6"/>
    <x v="2"/>
    <x v="32"/>
  </r>
  <r>
    <x v="575"/>
    <x v="7"/>
    <x v="2"/>
    <x v="2"/>
    <x v="168"/>
    <x v="157"/>
    <x v="184"/>
    <x v="0"/>
  </r>
  <r>
    <x v="576"/>
    <x v="4"/>
    <x v="2"/>
    <x v="5"/>
    <x v="172"/>
    <x v="6"/>
    <x v="2"/>
    <x v="20"/>
  </r>
  <r>
    <x v="577"/>
    <x v="1"/>
    <x v="3"/>
    <x v="5"/>
    <x v="170"/>
    <x v="6"/>
    <x v="2"/>
    <x v="99"/>
  </r>
  <r>
    <x v="578"/>
    <x v="8"/>
    <x v="8"/>
    <x v="6"/>
    <x v="175"/>
    <x v="180"/>
    <x v="184"/>
    <x v="0"/>
  </r>
  <r>
    <x v="579"/>
    <x v="1"/>
    <x v="8"/>
    <x v="5"/>
    <x v="179"/>
    <x v="167"/>
    <x v="2"/>
    <x v="129"/>
  </r>
  <r>
    <x v="580"/>
    <x v="5"/>
    <x v="2"/>
    <x v="6"/>
    <x v="154"/>
    <x v="160"/>
    <x v="164"/>
    <x v="0"/>
  </r>
  <r>
    <x v="581"/>
    <x v="5"/>
    <x v="2"/>
    <x v="3"/>
    <x v="161"/>
    <x v="173"/>
    <x v="185"/>
    <x v="0"/>
  </r>
  <r>
    <x v="582"/>
    <x v="4"/>
    <x v="11"/>
    <x v="2"/>
    <x v="161"/>
    <x v="172"/>
    <x v="180"/>
    <x v="0"/>
  </r>
  <r>
    <x v="583"/>
    <x v="7"/>
    <x v="7"/>
    <x v="0"/>
    <x v="164"/>
    <x v="176"/>
    <x v="185"/>
    <x v="0"/>
  </r>
  <r>
    <x v="584"/>
    <x v="1"/>
    <x v="1"/>
    <x v="6"/>
    <x v="150"/>
    <x v="160"/>
    <x v="168"/>
    <x v="0"/>
  </r>
  <r>
    <x v="585"/>
    <x v="1"/>
    <x v="3"/>
    <x v="6"/>
    <x v="172"/>
    <x v="171"/>
    <x v="156"/>
    <x v="0"/>
  </r>
  <r>
    <x v="586"/>
    <x v="2"/>
    <x v="1"/>
    <x v="3"/>
    <x v="168"/>
    <x v="6"/>
    <x v="2"/>
    <x v="21"/>
  </r>
  <r>
    <x v="587"/>
    <x v="4"/>
    <x v="9"/>
    <x v="1"/>
    <x v="159"/>
    <x v="167"/>
    <x v="184"/>
    <x v="0"/>
  </r>
  <r>
    <x v="588"/>
    <x v="0"/>
    <x v="3"/>
    <x v="3"/>
    <x v="166"/>
    <x v="155"/>
    <x v="168"/>
    <x v="0"/>
  </r>
  <r>
    <x v="589"/>
    <x v="4"/>
    <x v="2"/>
    <x v="4"/>
    <x v="163"/>
    <x v="169"/>
    <x v="181"/>
    <x v="0"/>
  </r>
  <r>
    <x v="590"/>
    <x v="10"/>
    <x v="9"/>
    <x v="2"/>
    <x v="172"/>
    <x v="171"/>
    <x v="132"/>
    <x v="0"/>
  </r>
  <r>
    <x v="591"/>
    <x v="5"/>
    <x v="1"/>
    <x v="2"/>
    <x v="174"/>
    <x v="162"/>
    <x v="167"/>
    <x v="0"/>
  </r>
  <r>
    <x v="592"/>
    <x v="4"/>
    <x v="3"/>
    <x v="2"/>
    <x v="174"/>
    <x v="6"/>
    <x v="2"/>
    <x v="120"/>
  </r>
  <r>
    <x v="593"/>
    <x v="7"/>
    <x v="1"/>
    <x v="1"/>
    <x v="158"/>
    <x v="160"/>
    <x v="173"/>
    <x v="0"/>
  </r>
  <r>
    <x v="594"/>
    <x v="10"/>
    <x v="6"/>
    <x v="2"/>
    <x v="169"/>
    <x v="181"/>
    <x v="174"/>
    <x v="0"/>
  </r>
  <r>
    <x v="595"/>
    <x v="7"/>
    <x v="2"/>
    <x v="4"/>
    <x v="169"/>
    <x v="172"/>
    <x v="186"/>
    <x v="0"/>
  </r>
  <r>
    <x v="596"/>
    <x v="5"/>
    <x v="4"/>
    <x v="3"/>
    <x v="178"/>
    <x v="6"/>
    <x v="2"/>
    <x v="110"/>
  </r>
  <r>
    <x v="597"/>
    <x v="3"/>
    <x v="2"/>
    <x v="3"/>
    <x v="171"/>
    <x v="6"/>
    <x v="2"/>
    <x v="134"/>
  </r>
  <r>
    <x v="598"/>
    <x v="4"/>
    <x v="8"/>
    <x v="4"/>
    <x v="171"/>
    <x v="169"/>
    <x v="156"/>
    <x v="0"/>
  </r>
  <r>
    <x v="599"/>
    <x v="1"/>
    <x v="0"/>
    <x v="2"/>
    <x v="173"/>
    <x v="6"/>
    <x v="2"/>
    <x v="135"/>
  </r>
  <r>
    <x v="600"/>
    <x v="0"/>
    <x v="2"/>
    <x v="0"/>
    <x v="163"/>
    <x v="152"/>
    <x v="157"/>
    <x v="0"/>
  </r>
  <r>
    <x v="601"/>
    <x v="10"/>
    <x v="5"/>
    <x v="2"/>
    <x v="167"/>
    <x v="6"/>
    <x v="2"/>
    <x v="21"/>
  </r>
  <r>
    <x v="602"/>
    <x v="0"/>
    <x v="2"/>
    <x v="3"/>
    <x v="152"/>
    <x v="6"/>
    <x v="2"/>
    <x v="136"/>
  </r>
  <r>
    <x v="603"/>
    <x v="4"/>
    <x v="2"/>
    <x v="3"/>
    <x v="153"/>
    <x v="169"/>
    <x v="184"/>
    <x v="0"/>
  </r>
  <r>
    <x v="604"/>
    <x v="1"/>
    <x v="8"/>
    <x v="2"/>
    <x v="153"/>
    <x v="6"/>
    <x v="2"/>
    <x v="78"/>
  </r>
  <r>
    <x v="605"/>
    <x v="4"/>
    <x v="2"/>
    <x v="0"/>
    <x v="168"/>
    <x v="179"/>
    <x v="173"/>
    <x v="0"/>
  </r>
  <r>
    <x v="606"/>
    <x v="4"/>
    <x v="2"/>
    <x v="0"/>
    <x v="171"/>
    <x v="6"/>
    <x v="2"/>
    <x v="137"/>
  </r>
  <r>
    <x v="607"/>
    <x v="1"/>
    <x v="8"/>
    <x v="2"/>
    <x v="154"/>
    <x v="155"/>
    <x v="187"/>
    <x v="0"/>
  </r>
  <r>
    <x v="608"/>
    <x v="1"/>
    <x v="9"/>
    <x v="2"/>
    <x v="172"/>
    <x v="6"/>
    <x v="2"/>
    <x v="36"/>
  </r>
  <r>
    <x v="609"/>
    <x v="4"/>
    <x v="6"/>
    <x v="3"/>
    <x v="152"/>
    <x v="155"/>
    <x v="170"/>
    <x v="0"/>
  </r>
  <r>
    <x v="610"/>
    <x v="7"/>
    <x v="5"/>
    <x v="2"/>
    <x v="168"/>
    <x v="167"/>
    <x v="188"/>
    <x v="0"/>
  </r>
  <r>
    <x v="611"/>
    <x v="10"/>
    <x v="2"/>
    <x v="2"/>
    <x v="155"/>
    <x v="161"/>
    <x v="176"/>
    <x v="0"/>
  </r>
  <r>
    <x v="612"/>
    <x v="9"/>
    <x v="3"/>
    <x v="2"/>
    <x v="164"/>
    <x v="157"/>
    <x v="178"/>
    <x v="0"/>
  </r>
  <r>
    <x v="613"/>
    <x v="1"/>
    <x v="7"/>
    <x v="3"/>
    <x v="172"/>
    <x v="164"/>
    <x v="115"/>
    <x v="0"/>
  </r>
  <r>
    <x v="614"/>
    <x v="0"/>
    <x v="11"/>
    <x v="6"/>
    <x v="154"/>
    <x v="160"/>
    <x v="163"/>
    <x v="0"/>
  </r>
  <r>
    <x v="615"/>
    <x v="1"/>
    <x v="1"/>
    <x v="2"/>
    <x v="178"/>
    <x v="159"/>
    <x v="189"/>
    <x v="0"/>
  </r>
  <r>
    <x v="616"/>
    <x v="7"/>
    <x v="1"/>
    <x v="1"/>
    <x v="155"/>
    <x v="169"/>
    <x v="168"/>
    <x v="0"/>
  </r>
  <r>
    <x v="617"/>
    <x v="1"/>
    <x v="2"/>
    <x v="2"/>
    <x v="177"/>
    <x v="6"/>
    <x v="2"/>
    <x v="138"/>
  </r>
  <r>
    <x v="618"/>
    <x v="1"/>
    <x v="1"/>
    <x v="5"/>
    <x v="172"/>
    <x v="171"/>
    <x v="172"/>
    <x v="0"/>
  </r>
  <r>
    <x v="619"/>
    <x v="4"/>
    <x v="2"/>
    <x v="2"/>
    <x v="156"/>
    <x v="166"/>
    <x v="17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3F6A1-9109-48E9-8B7D-682863FE9B75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tail Store">
  <location ref="A24:B31" firstHeaderRow="1" firstDataRow="1" firstDataCol="1"/>
  <pivotFields count="10">
    <pivotField dataField="1" showAll="0"/>
    <pivotField showAll="0"/>
    <pivotField axis="axisRow" showAll="0">
      <items count="14">
        <item h="1" x="6"/>
        <item x="2"/>
        <item h="1" x="10"/>
        <item x="11"/>
        <item x="3"/>
        <item h="1" x="9"/>
        <item h="1" x="4"/>
        <item x="1"/>
        <item h="1" x="5"/>
        <item h="1" x="8"/>
        <item x="0"/>
        <item h="1" x="12"/>
        <item x="7"/>
        <item t="default"/>
      </items>
    </pivotField>
    <pivotField showAll="0"/>
    <pivotField numFmtId="14" showAll="0">
      <items count="181">
        <item x="34"/>
        <item x="71"/>
        <item x="41"/>
        <item x="38"/>
        <item x="49"/>
        <item x="24"/>
        <item x="52"/>
        <item x="40"/>
        <item x="32"/>
        <item x="69"/>
        <item x="21"/>
        <item x="61"/>
        <item x="88"/>
        <item x="16"/>
        <item x="45"/>
        <item x="68"/>
        <item x="79"/>
        <item x="1"/>
        <item x="44"/>
        <item x="85"/>
        <item x="59"/>
        <item x="0"/>
        <item x="17"/>
        <item x="28"/>
        <item x="12"/>
        <item x="2"/>
        <item x="22"/>
        <item x="43"/>
        <item x="53"/>
        <item x="50"/>
        <item x="47"/>
        <item x="77"/>
        <item x="55"/>
        <item x="14"/>
        <item x="27"/>
        <item x="67"/>
        <item x="64"/>
        <item x="83"/>
        <item x="80"/>
        <item x="35"/>
        <item x="3"/>
        <item x="73"/>
        <item x="72"/>
        <item x="8"/>
        <item x="7"/>
        <item x="81"/>
        <item x="37"/>
        <item x="74"/>
        <item x="57"/>
        <item x="11"/>
        <item x="63"/>
        <item x="76"/>
        <item x="60"/>
        <item x="65"/>
        <item x="5"/>
        <item x="58"/>
        <item x="62"/>
        <item x="13"/>
        <item x="4"/>
        <item x="31"/>
        <item x="66"/>
        <item x="19"/>
        <item x="75"/>
        <item x="36"/>
        <item x="86"/>
        <item x="15"/>
        <item x="51"/>
        <item x="48"/>
        <item x="29"/>
        <item x="70"/>
        <item x="25"/>
        <item x="84"/>
        <item x="30"/>
        <item x="23"/>
        <item x="46"/>
        <item x="87"/>
        <item x="18"/>
        <item x="78"/>
        <item x="39"/>
        <item x="54"/>
        <item x="20"/>
        <item x="6"/>
        <item x="26"/>
        <item x="10"/>
        <item x="42"/>
        <item x="56"/>
        <item x="82"/>
        <item x="33"/>
        <item x="9"/>
        <item x="125"/>
        <item x="100"/>
        <item x="89"/>
        <item x="108"/>
        <item x="111"/>
        <item x="101"/>
        <item x="124"/>
        <item x="118"/>
        <item x="91"/>
        <item x="137"/>
        <item x="105"/>
        <item x="113"/>
        <item x="123"/>
        <item x="103"/>
        <item x="146"/>
        <item x="114"/>
        <item x="122"/>
        <item x="134"/>
        <item x="97"/>
        <item x="128"/>
        <item x="120"/>
        <item x="119"/>
        <item x="109"/>
        <item x="136"/>
        <item x="127"/>
        <item x="95"/>
        <item x="110"/>
        <item x="104"/>
        <item x="98"/>
        <item x="96"/>
        <item x="138"/>
        <item x="121"/>
        <item x="126"/>
        <item x="135"/>
        <item x="133"/>
        <item x="130"/>
        <item x="148"/>
        <item x="129"/>
        <item x="139"/>
        <item x="93"/>
        <item x="107"/>
        <item x="94"/>
        <item x="132"/>
        <item x="144"/>
        <item x="142"/>
        <item x="141"/>
        <item x="140"/>
        <item x="92"/>
        <item x="145"/>
        <item x="102"/>
        <item x="116"/>
        <item x="131"/>
        <item x="106"/>
        <item x="115"/>
        <item x="99"/>
        <item x="90"/>
        <item x="117"/>
        <item x="147"/>
        <item x="149"/>
        <item x="112"/>
        <item x="143"/>
        <item x="151"/>
        <item x="176"/>
        <item x="178"/>
        <item x="177"/>
        <item x="167"/>
        <item x="172"/>
        <item x="160"/>
        <item x="161"/>
        <item x="169"/>
        <item x="174"/>
        <item x="157"/>
        <item x="171"/>
        <item x="175"/>
        <item x="165"/>
        <item x="153"/>
        <item x="163"/>
        <item x="173"/>
        <item x="155"/>
        <item x="168"/>
        <item x="150"/>
        <item x="156"/>
        <item x="154"/>
        <item x="158"/>
        <item x="164"/>
        <item x="179"/>
        <item x="159"/>
        <item x="162"/>
        <item x="170"/>
        <item x="152"/>
        <item x="166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1"/>
    </i>
    <i>
      <x v="3"/>
    </i>
    <i>
      <x v="4"/>
    </i>
    <i>
      <x v="7"/>
    </i>
    <i>
      <x v="10"/>
    </i>
    <i>
      <x v="12"/>
    </i>
    <i t="grand">
      <x/>
    </i>
  </rowItems>
  <colItems count="1">
    <i/>
  </colItems>
  <dataFields count="1">
    <dataField name="Hires" fld="0" subtotal="count" baseField="2" baseItem="1"/>
  </dataField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" xr10:uid="{CC6DC95E-31C2-4FB9-AAC3-BB217BFCCE92}" sourceName="Area">
  <data>
    <tabular pivotCacheId="1073878324">
      <items count="11">
        <i x="8" s="1"/>
        <i x="6" s="1"/>
        <i x="7" s="1"/>
        <i x="3" s="1"/>
        <i x="4" s="1"/>
        <i x="1" s="1"/>
        <i x="5" s="1"/>
        <i x="10" s="1"/>
        <i x="2" s="1"/>
        <i x="9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macén" xr10:uid="{CEA7EC50-8E4C-4D77-BDC3-4251F15534F3}" sourceName="Almacén">
  <data>
    <tabular pivotCacheId="1073878324">
      <items count="13">
        <i x="6"/>
        <i x="2"/>
        <i x="10"/>
        <i x="11"/>
        <i x="3"/>
        <i x="9"/>
        <i x="4" s="1"/>
        <i x="1"/>
        <i x="5"/>
        <i x="8"/>
        <i x="0"/>
        <i x="12"/>
        <i x="7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" xr10:uid="{07A341D6-8B40-4226-8408-52FE00E42574}" cache="SegmentaciónDeDatos_Area" caption="Area" columnCount="2" style="SlicerStyleLight2" rowHeight="241300"/>
  <slicer name="Almacén" xr10:uid="{6C0B2344-3FD0-4A0A-9F1F-8A6C3BDE1EB7}" cache="SegmentaciónDeDatos_Almacén" caption="Almacén" columnCount="2" style="SlicerStyleLight2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327B-5D68-40AC-A471-87020DFB2A2C}">
  <dimension ref="A23:D41"/>
  <sheetViews>
    <sheetView showGridLines="0" tabSelected="1" zoomScale="95" zoomScaleNormal="95" workbookViewId="0">
      <selection activeCell="F44" sqref="F44"/>
    </sheetView>
  </sheetViews>
  <sheetFormatPr baseColWidth="10" defaultRowHeight="14.5" x14ac:dyDescent="0.35"/>
  <cols>
    <col min="1" max="1" width="17" bestFit="1" customWidth="1"/>
    <col min="2" max="2" width="14.7265625" bestFit="1" customWidth="1"/>
    <col min="3" max="3" width="16.36328125" customWidth="1"/>
  </cols>
  <sheetData>
    <row r="23" spans="1:3" ht="34" thickBot="1" x14ac:dyDescent="1.35">
      <c r="A23" s="1" t="s">
        <v>0</v>
      </c>
    </row>
    <row r="24" spans="1:3" ht="15" thickBot="1" x14ac:dyDescent="0.4">
      <c r="A24" t="s">
        <v>1</v>
      </c>
      <c r="B24" t="s">
        <v>2</v>
      </c>
      <c r="C24" s="2" t="s">
        <v>3</v>
      </c>
    </row>
    <row r="25" spans="1:3" x14ac:dyDescent="0.35">
      <c r="A25" s="3" t="s">
        <v>4</v>
      </c>
      <c r="B25">
        <v>246</v>
      </c>
      <c r="C25">
        <f>GETPIVOTDATA("Nombre",$A$24,"Almacén","Ciudad de México")-[1]Analysis!G5</f>
        <v>46</v>
      </c>
    </row>
    <row r="26" spans="1:3" x14ac:dyDescent="0.35">
      <c r="A26" s="3" t="s">
        <v>5</v>
      </c>
      <c r="B26">
        <v>25</v>
      </c>
      <c r="C26">
        <f>GETPIVOTDATA("Nombre",$A$24,"Almacén","Ecatepec")-[1]Analysis!G6</f>
        <v>-25</v>
      </c>
    </row>
    <row r="27" spans="1:3" x14ac:dyDescent="0.35">
      <c r="A27" s="3" t="s">
        <v>6</v>
      </c>
      <c r="B27">
        <v>119</v>
      </c>
      <c r="C27">
        <f>GETPIVOTDATA("Nombre",$A$24,"Almacén","Guadalajara")-[1]Analysis!G7</f>
        <v>19</v>
      </c>
    </row>
    <row r="28" spans="1:3" x14ac:dyDescent="0.35">
      <c r="A28" s="3" t="s">
        <v>7</v>
      </c>
      <c r="B28">
        <v>161</v>
      </c>
      <c r="C28">
        <f>GETPIVOTDATA("Nombre",$A$24,"Almacén","Monterrey")-[1]Analysis!G9</f>
        <v>-39</v>
      </c>
    </row>
    <row r="29" spans="1:3" x14ac:dyDescent="0.35">
      <c r="A29" s="3" t="s">
        <v>8</v>
      </c>
      <c r="B29">
        <v>40</v>
      </c>
      <c r="C29">
        <f>GETPIVOTDATA("Nombre",$A$24,"Almacén","Puebla de Zaragoza")-[1]Analysis!G10</f>
        <v>0</v>
      </c>
    </row>
    <row r="30" spans="1:3" x14ac:dyDescent="0.35">
      <c r="A30" s="3" t="s">
        <v>9</v>
      </c>
      <c r="B30">
        <v>44</v>
      </c>
      <c r="C30">
        <f>GETPIVOTDATA("Nombre",$A$24,"Almacén","Zapopan")-[1]Analysis!G8</f>
        <v>-6</v>
      </c>
    </row>
    <row r="31" spans="1:3" x14ac:dyDescent="0.35">
      <c r="A31" s="3" t="s">
        <v>10</v>
      </c>
      <c r="B31">
        <v>635</v>
      </c>
      <c r="C31">
        <f>GETPIVOTDATA("Nombre",$A$24)-[1]Analysis!G11</f>
        <v>-5</v>
      </c>
    </row>
    <row r="36" spans="1:4" ht="22" x14ac:dyDescent="0.85">
      <c r="A36" s="4" t="s">
        <v>11</v>
      </c>
    </row>
    <row r="37" spans="1:4" ht="14.5" customHeight="1" x14ac:dyDescent="0.35">
      <c r="A37" s="5">
        <f>[1]Analysis!D59</f>
        <v>0.27137042062415195</v>
      </c>
      <c r="B37" s="6"/>
      <c r="C37" s="5">
        <f>[1]Analysis!D66</f>
        <v>0.37349397590361444</v>
      </c>
      <c r="D37" s="6"/>
    </row>
    <row r="38" spans="1:4" ht="14.5" customHeight="1" x14ac:dyDescent="0.35">
      <c r="A38" s="5"/>
      <c r="B38" s="6"/>
      <c r="C38" s="5"/>
      <c r="D38" s="6"/>
    </row>
    <row r="39" spans="1:4" ht="14.5" customHeight="1" x14ac:dyDescent="0.35">
      <c r="A39" s="5"/>
      <c r="B39" s="6"/>
      <c r="C39" s="5"/>
      <c r="D39" s="6"/>
    </row>
    <row r="40" spans="1:4" ht="14.5" customHeight="1" x14ac:dyDescent="0.35">
      <c r="A40" s="5"/>
      <c r="B40" s="6"/>
      <c r="C40" s="5"/>
      <c r="D40" s="6"/>
    </row>
    <row r="41" spans="1:4" ht="15" customHeight="1" x14ac:dyDescent="0.35">
      <c r="A41" s="5"/>
      <c r="B41" s="6"/>
      <c r="C41" s="5"/>
      <c r="D41" s="6"/>
    </row>
  </sheetData>
  <mergeCells count="2">
    <mergeCell ref="A37:B41"/>
    <mergeCell ref="C37:D41"/>
  </mergeCells>
  <conditionalFormatting sqref="A37">
    <cfRule type="cellIs" dxfId="5" priority="3" operator="greaterThan">
      <formula>0.23</formula>
    </cfRule>
    <cfRule type="cellIs" dxfId="4" priority="4" operator="lessThan">
      <formula>0.23</formula>
    </cfRule>
  </conditionalFormatting>
  <conditionalFormatting sqref="C25:C31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C37">
    <cfRule type="cellIs" dxfId="1" priority="1" operator="greaterThan">
      <formula>0.6</formula>
    </cfRule>
    <cfRule type="cellIs" dxfId="0" priority="2" operator="lessThan">
      <formula>0.6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Alvarado Bolívar</dc:creator>
  <cp:lastModifiedBy>Emily Alvarado Bolívar</cp:lastModifiedBy>
  <dcterms:created xsi:type="dcterms:W3CDTF">2026-04-10T17:37:17Z</dcterms:created>
  <dcterms:modified xsi:type="dcterms:W3CDTF">2026-04-10T17:37:51Z</dcterms:modified>
</cp:coreProperties>
</file>